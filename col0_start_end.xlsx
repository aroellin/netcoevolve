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roellin/SynologyDrive/software/netcoevolve/"/>
    </mc:Choice>
  </mc:AlternateContent>
  <xr:revisionPtr revIDLastSave="0" documentId="13_ncr:9_{F7712C1A-6198-A749-A236-C97D0243B71B}" xr6:coauthVersionLast="47" xr6:coauthVersionMax="47" xr10:uidLastSave="{00000000-0000-0000-0000-000000000000}"/>
  <bookViews>
    <workbookView xWindow="16620" yWindow="760" windowWidth="34360" windowHeight="22380" xr2:uid="{BB76F9DB-1F91-B943-B8D5-05B98A3E152B}"/>
  </bookViews>
  <sheets>
    <sheet name="col0_start_end" sheetId="1" r:id="rId1"/>
  </sheets>
  <definedNames>
    <definedName name="_xlnm._FilterDatabase" localSheetId="0" hidden="1">col0_start_end!$A$1:$B$54</definedName>
  </definedNames>
  <calcPr calcId="0"/>
</workbook>
</file>

<file path=xl/calcChain.xml><?xml version="1.0" encoding="utf-8"?>
<calcChain xmlns="http://schemas.openxmlformats.org/spreadsheetml/2006/main">
  <c r="C93" i="1" l="1"/>
  <c r="D93" i="1"/>
  <c r="E93" i="1" s="1"/>
  <c r="C94" i="1"/>
  <c r="D94" i="1"/>
  <c r="E94" i="1" s="1"/>
  <c r="F94" i="1" s="1"/>
  <c r="C95" i="1"/>
  <c r="D95" i="1"/>
  <c r="E95" i="1"/>
  <c r="F95" i="1"/>
  <c r="C96" i="1"/>
  <c r="D96" i="1"/>
  <c r="E96" i="1"/>
  <c r="F96" i="1" s="1"/>
  <c r="C97" i="1"/>
  <c r="D97" i="1"/>
  <c r="E97" i="1"/>
  <c r="F97" i="1" s="1"/>
  <c r="C98" i="1"/>
  <c r="D98" i="1"/>
  <c r="E98" i="1" s="1"/>
  <c r="F98" i="1" s="1"/>
  <c r="C99" i="1"/>
  <c r="D99" i="1"/>
  <c r="E99" i="1" s="1"/>
  <c r="C100" i="1"/>
  <c r="D100" i="1"/>
  <c r="E100" i="1"/>
  <c r="F100" i="1"/>
  <c r="C101" i="1"/>
  <c r="D101" i="1"/>
  <c r="E101" i="1" s="1"/>
  <c r="F101" i="1" s="1"/>
  <c r="C102" i="1"/>
  <c r="D102" i="1"/>
  <c r="E102" i="1" s="1"/>
  <c r="C103" i="1"/>
  <c r="G103" i="1" s="1"/>
  <c r="D103" i="1"/>
  <c r="E103" i="1"/>
  <c r="F103" i="1" s="1"/>
  <c r="C104" i="1"/>
  <c r="D104" i="1"/>
  <c r="E104" i="1"/>
  <c r="F104" i="1" s="1"/>
  <c r="C105" i="1"/>
  <c r="D105" i="1"/>
  <c r="E105" i="1" s="1"/>
  <c r="F105" i="1" s="1"/>
  <c r="C106" i="1"/>
  <c r="D106" i="1"/>
  <c r="E106" i="1" s="1"/>
  <c r="F106" i="1" s="1"/>
  <c r="C107" i="1"/>
  <c r="D107" i="1"/>
  <c r="E107" i="1" s="1"/>
  <c r="C108" i="1"/>
  <c r="D108" i="1"/>
  <c r="E108" i="1"/>
  <c r="F108" i="1" s="1"/>
  <c r="C109" i="1"/>
  <c r="D109" i="1"/>
  <c r="E109" i="1" s="1"/>
  <c r="F109" i="1" s="1"/>
  <c r="C110" i="1"/>
  <c r="D110" i="1"/>
  <c r="E110" i="1" s="1"/>
  <c r="F110" i="1" s="1"/>
  <c r="C111" i="1"/>
  <c r="D111" i="1"/>
  <c r="E111" i="1"/>
  <c r="F111" i="1"/>
  <c r="G111" i="1"/>
  <c r="C112" i="1"/>
  <c r="D112" i="1"/>
  <c r="E112" i="1"/>
  <c r="F112" i="1" s="1"/>
  <c r="C113" i="1"/>
  <c r="D113" i="1"/>
  <c r="E113" i="1" s="1"/>
  <c r="C114" i="1"/>
  <c r="D114" i="1"/>
  <c r="E114" i="1" s="1"/>
  <c r="F114" i="1" s="1"/>
  <c r="C115" i="1"/>
  <c r="D115" i="1"/>
  <c r="E115" i="1" s="1"/>
  <c r="F115" i="1" s="1"/>
  <c r="C116" i="1"/>
  <c r="D116" i="1"/>
  <c r="E116" i="1" s="1"/>
  <c r="C117" i="1"/>
  <c r="D117" i="1"/>
  <c r="E117" i="1"/>
  <c r="F117" i="1"/>
  <c r="C118" i="1"/>
  <c r="D118" i="1"/>
  <c r="E118" i="1" s="1"/>
  <c r="F118" i="1" s="1"/>
  <c r="C119" i="1"/>
  <c r="D119" i="1"/>
  <c r="E119" i="1" s="1"/>
  <c r="F119" i="1" s="1"/>
  <c r="C120" i="1"/>
  <c r="D120" i="1"/>
  <c r="E120" i="1"/>
  <c r="F120" i="1"/>
  <c r="C121" i="1"/>
  <c r="D121" i="1"/>
  <c r="E121" i="1" s="1"/>
  <c r="C122" i="1"/>
  <c r="D122" i="1"/>
  <c r="E122" i="1" s="1"/>
  <c r="F122" i="1" s="1"/>
  <c r="C123" i="1"/>
  <c r="D123" i="1"/>
  <c r="E123" i="1"/>
  <c r="F123" i="1" s="1"/>
  <c r="C124" i="1"/>
  <c r="D124" i="1"/>
  <c r="E124" i="1" s="1"/>
  <c r="F124" i="1" s="1"/>
  <c r="C125" i="1"/>
  <c r="D125" i="1"/>
  <c r="E125" i="1" s="1"/>
  <c r="F125" i="1" s="1"/>
  <c r="C126" i="1"/>
  <c r="D126" i="1"/>
  <c r="E126" i="1"/>
  <c r="F126" i="1" s="1"/>
  <c r="C127" i="1"/>
  <c r="D127" i="1"/>
  <c r="E127" i="1" s="1"/>
  <c r="C128" i="1"/>
  <c r="D128" i="1"/>
  <c r="E128" i="1" s="1"/>
  <c r="F128" i="1" s="1"/>
  <c r="C129" i="1"/>
  <c r="D129" i="1"/>
  <c r="E129" i="1" s="1"/>
  <c r="F129" i="1" s="1"/>
  <c r="C130" i="1"/>
  <c r="D130" i="1"/>
  <c r="E130" i="1" s="1"/>
  <c r="C131" i="1"/>
  <c r="D131" i="1"/>
  <c r="E131" i="1"/>
  <c r="F131" i="1"/>
  <c r="G131" i="1"/>
  <c r="C132" i="1"/>
  <c r="D132" i="1"/>
  <c r="E132" i="1" s="1"/>
  <c r="F132" i="1" s="1"/>
  <c r="C133" i="1"/>
  <c r="D133" i="1"/>
  <c r="E133" i="1"/>
  <c r="F133" i="1" s="1"/>
  <c r="C134" i="1"/>
  <c r="D134" i="1"/>
  <c r="E134" i="1"/>
  <c r="F134" i="1"/>
  <c r="C135" i="1"/>
  <c r="D135" i="1"/>
  <c r="E135" i="1" s="1"/>
  <c r="C136" i="1"/>
  <c r="G136" i="1" s="1"/>
  <c r="D136" i="1"/>
  <c r="E136" i="1"/>
  <c r="F136" i="1"/>
  <c r="C137" i="1"/>
  <c r="D137" i="1"/>
  <c r="E137" i="1"/>
  <c r="F137" i="1" s="1"/>
  <c r="C138" i="1"/>
  <c r="D138" i="1"/>
  <c r="E138" i="1"/>
  <c r="F138" i="1" s="1"/>
  <c r="C139" i="1"/>
  <c r="D139" i="1"/>
  <c r="E139" i="1"/>
  <c r="F139" i="1"/>
  <c r="C140" i="1"/>
  <c r="D140" i="1"/>
  <c r="E140" i="1"/>
  <c r="F140" i="1" s="1"/>
  <c r="C141" i="1"/>
  <c r="D141" i="1"/>
  <c r="E141" i="1" s="1"/>
  <c r="C142" i="1"/>
  <c r="D142" i="1"/>
  <c r="E142" i="1" s="1"/>
  <c r="F142" i="1" s="1"/>
  <c r="C143" i="1"/>
  <c r="D143" i="1"/>
  <c r="E143" i="1" s="1"/>
  <c r="F143" i="1" s="1"/>
  <c r="C144" i="1"/>
  <c r="D144" i="1"/>
  <c r="E144" i="1" s="1"/>
  <c r="C145" i="1"/>
  <c r="D145" i="1"/>
  <c r="E145" i="1"/>
  <c r="F145" i="1" s="1"/>
  <c r="C146" i="1"/>
  <c r="D146" i="1"/>
  <c r="E146" i="1"/>
  <c r="F146" i="1" s="1"/>
  <c r="C147" i="1"/>
  <c r="D147" i="1"/>
  <c r="E147" i="1" s="1"/>
  <c r="F147" i="1" s="1"/>
  <c r="C148" i="1"/>
  <c r="D148" i="1"/>
  <c r="E148" i="1"/>
  <c r="F148" i="1"/>
  <c r="G148" i="1"/>
  <c r="C149" i="1"/>
  <c r="D149" i="1"/>
  <c r="E149" i="1" s="1"/>
  <c r="C150" i="1"/>
  <c r="D150" i="1"/>
  <c r="E150" i="1"/>
  <c r="F150" i="1" s="1"/>
  <c r="C151" i="1"/>
  <c r="D151" i="1"/>
  <c r="E151" i="1" s="1"/>
  <c r="F151" i="1" s="1"/>
  <c r="C152" i="1"/>
  <c r="D152" i="1"/>
  <c r="E152" i="1"/>
  <c r="F152" i="1" s="1"/>
  <c r="C153" i="1"/>
  <c r="D153" i="1"/>
  <c r="E153" i="1"/>
  <c r="F153" i="1" s="1"/>
  <c r="C154" i="1"/>
  <c r="D154" i="1"/>
  <c r="E154" i="1"/>
  <c r="F154" i="1" s="1"/>
  <c r="C155" i="1"/>
  <c r="D155" i="1"/>
  <c r="E155" i="1" s="1"/>
  <c r="C156" i="1"/>
  <c r="G156" i="1" s="1"/>
  <c r="D156" i="1"/>
  <c r="E156" i="1"/>
  <c r="F156" i="1" s="1"/>
  <c r="C157" i="1"/>
  <c r="D157" i="1"/>
  <c r="E157" i="1" s="1"/>
  <c r="F157" i="1" s="1"/>
  <c r="C158" i="1"/>
  <c r="D158" i="1"/>
  <c r="E158" i="1" s="1"/>
  <c r="C159" i="1"/>
  <c r="D159" i="1"/>
  <c r="E159" i="1"/>
  <c r="F159" i="1"/>
  <c r="C160" i="1"/>
  <c r="D160" i="1"/>
  <c r="E160" i="1" s="1"/>
  <c r="F160" i="1" s="1"/>
  <c r="C161" i="1"/>
  <c r="D161" i="1"/>
  <c r="E161" i="1" s="1"/>
  <c r="C162" i="1"/>
  <c r="D162" i="1"/>
  <c r="E162" i="1" s="1"/>
  <c r="F162" i="1" s="1"/>
  <c r="C163" i="1"/>
  <c r="D163" i="1"/>
  <c r="E163" i="1" s="1"/>
  <c r="C164" i="1"/>
  <c r="D164" i="1"/>
  <c r="E164" i="1" s="1"/>
  <c r="F164" i="1" s="1"/>
  <c r="C165" i="1"/>
  <c r="D165" i="1"/>
  <c r="E165" i="1" s="1"/>
  <c r="F165" i="1" s="1"/>
  <c r="C166" i="1"/>
  <c r="D166" i="1"/>
  <c r="E166" i="1"/>
  <c r="F166" i="1" s="1"/>
  <c r="C167" i="1"/>
  <c r="D167" i="1"/>
  <c r="E167" i="1"/>
  <c r="F167" i="1"/>
  <c r="C168" i="1"/>
  <c r="D168" i="1"/>
  <c r="E168" i="1" s="1"/>
  <c r="F168" i="1" s="1"/>
  <c r="C169" i="1"/>
  <c r="D169" i="1"/>
  <c r="E169" i="1" s="1"/>
  <c r="C170" i="1"/>
  <c r="D170" i="1"/>
  <c r="E170" i="1" s="1"/>
  <c r="F170" i="1" s="1"/>
  <c r="C171" i="1"/>
  <c r="D171" i="1"/>
  <c r="E171" i="1" s="1"/>
  <c r="F171" i="1" s="1"/>
  <c r="C172" i="1"/>
  <c r="D172" i="1"/>
  <c r="E172" i="1" s="1"/>
  <c r="C173" i="1"/>
  <c r="D173" i="1"/>
  <c r="E173" i="1"/>
  <c r="F173" i="1" s="1"/>
  <c r="C174" i="1"/>
  <c r="D174" i="1"/>
  <c r="E174" i="1"/>
  <c r="F174" i="1" s="1"/>
  <c r="C175" i="1"/>
  <c r="D175" i="1"/>
  <c r="E175" i="1"/>
  <c r="F175" i="1" s="1"/>
  <c r="C176" i="1"/>
  <c r="D176" i="1"/>
  <c r="E176" i="1"/>
  <c r="F176" i="1"/>
  <c r="G176" i="1"/>
  <c r="C177" i="1"/>
  <c r="D177" i="1"/>
  <c r="E177" i="1" s="1"/>
  <c r="C178" i="1"/>
  <c r="D178" i="1"/>
  <c r="E178" i="1" s="1"/>
  <c r="F178" i="1" s="1"/>
  <c r="C179" i="1"/>
  <c r="D179" i="1"/>
  <c r="E179" i="1" s="1"/>
  <c r="F179" i="1" s="1"/>
  <c r="C180" i="1"/>
  <c r="D180" i="1"/>
  <c r="E180" i="1"/>
  <c r="F180" i="1" s="1"/>
  <c r="C181" i="1"/>
  <c r="D181" i="1"/>
  <c r="E181" i="1" s="1"/>
  <c r="F181" i="1" s="1"/>
  <c r="C182" i="1"/>
  <c r="D182" i="1"/>
  <c r="E182" i="1"/>
  <c r="F182" i="1" s="1"/>
  <c r="C183" i="1"/>
  <c r="D183" i="1"/>
  <c r="E183" i="1" s="1"/>
  <c r="C184" i="1"/>
  <c r="D184" i="1"/>
  <c r="E184" i="1" s="1"/>
  <c r="F184" i="1" s="1"/>
  <c r="C185" i="1"/>
  <c r="D185" i="1"/>
  <c r="E185" i="1" s="1"/>
  <c r="F185" i="1" s="1"/>
  <c r="C186" i="1"/>
  <c r="D186" i="1"/>
  <c r="E186" i="1" s="1"/>
  <c r="C187" i="1"/>
  <c r="D187" i="1"/>
  <c r="E187" i="1"/>
  <c r="F187" i="1"/>
  <c r="G187" i="1"/>
  <c r="C188" i="1"/>
  <c r="D188" i="1"/>
  <c r="E188" i="1" s="1"/>
  <c r="C189" i="1"/>
  <c r="D189" i="1"/>
  <c r="E189" i="1" s="1"/>
  <c r="F189" i="1" s="1"/>
  <c r="C190" i="1"/>
  <c r="D190" i="1"/>
  <c r="E190" i="1" s="1"/>
  <c r="F190" i="1" s="1"/>
  <c r="C191" i="1"/>
  <c r="D191" i="1"/>
  <c r="E191" i="1"/>
  <c r="F191" i="1" s="1"/>
  <c r="C192" i="1"/>
  <c r="D192" i="1"/>
  <c r="E192" i="1" s="1"/>
  <c r="F192" i="1" s="1"/>
  <c r="C193" i="1"/>
  <c r="D193" i="1"/>
  <c r="E193" i="1" s="1"/>
  <c r="F193" i="1" s="1"/>
  <c r="C194" i="1"/>
  <c r="D194" i="1"/>
  <c r="E194" i="1" s="1"/>
  <c r="C195" i="1"/>
  <c r="D195" i="1"/>
  <c r="E195" i="1"/>
  <c r="F195" i="1" s="1"/>
  <c r="C196" i="1"/>
  <c r="D196" i="1"/>
  <c r="E196" i="1" s="1"/>
  <c r="F196" i="1" s="1"/>
  <c r="C197" i="1"/>
  <c r="D197" i="1"/>
  <c r="E197" i="1" s="1"/>
  <c r="C198" i="1"/>
  <c r="D198" i="1"/>
  <c r="E198" i="1" s="1"/>
  <c r="F198" i="1" s="1"/>
  <c r="C199" i="1"/>
  <c r="D199" i="1"/>
  <c r="E199" i="1"/>
  <c r="F199" i="1" s="1"/>
  <c r="C200" i="1"/>
  <c r="D200" i="1"/>
  <c r="E200" i="1"/>
  <c r="F200" i="1" s="1"/>
  <c r="C201" i="1"/>
  <c r="D201" i="1"/>
  <c r="E201" i="1" s="1"/>
  <c r="F201" i="1" s="1"/>
  <c r="C202" i="1"/>
  <c r="D202" i="1"/>
  <c r="E202" i="1" s="1"/>
  <c r="C203" i="1"/>
  <c r="D203" i="1"/>
  <c r="E203" i="1" s="1"/>
  <c r="C204" i="1"/>
  <c r="D204" i="1"/>
  <c r="E204" i="1"/>
  <c r="F204" i="1" s="1"/>
  <c r="C205" i="1"/>
  <c r="D205" i="1"/>
  <c r="E205" i="1" s="1"/>
  <c r="F205" i="1" s="1"/>
  <c r="C206" i="1"/>
  <c r="D206" i="1"/>
  <c r="E206" i="1" s="1"/>
  <c r="F206" i="1" s="1"/>
  <c r="C207" i="1"/>
  <c r="D207" i="1"/>
  <c r="E207" i="1" s="1"/>
  <c r="C208" i="1"/>
  <c r="D208" i="1"/>
  <c r="E208" i="1" s="1"/>
  <c r="F208" i="1" s="1"/>
  <c r="C209" i="1"/>
  <c r="D209" i="1"/>
  <c r="E209" i="1" s="1"/>
  <c r="C210" i="1"/>
  <c r="D210" i="1"/>
  <c r="E210" i="1" s="1"/>
  <c r="F210" i="1" s="1"/>
  <c r="C55" i="1"/>
  <c r="D55" i="1"/>
  <c r="E55" i="1" s="1"/>
  <c r="C56" i="1"/>
  <c r="D56" i="1"/>
  <c r="E56" i="1" s="1"/>
  <c r="F56" i="1" s="1"/>
  <c r="C57" i="1"/>
  <c r="D57" i="1"/>
  <c r="E57" i="1" s="1"/>
  <c r="F57" i="1" s="1"/>
  <c r="C58" i="1"/>
  <c r="D58" i="1"/>
  <c r="E58" i="1" s="1"/>
  <c r="C59" i="1"/>
  <c r="D59" i="1"/>
  <c r="E59" i="1" s="1"/>
  <c r="F59" i="1" s="1"/>
  <c r="C60" i="1"/>
  <c r="D60" i="1"/>
  <c r="E60" i="1" s="1"/>
  <c r="F60" i="1" s="1"/>
  <c r="C61" i="1"/>
  <c r="D61" i="1"/>
  <c r="E61" i="1" s="1"/>
  <c r="F61" i="1" s="1"/>
  <c r="C62" i="1"/>
  <c r="D62" i="1"/>
  <c r="E62" i="1" s="1"/>
  <c r="F62" i="1" s="1"/>
  <c r="C63" i="1"/>
  <c r="D63" i="1"/>
  <c r="E63" i="1"/>
  <c r="F63" i="1"/>
  <c r="C64" i="1"/>
  <c r="D64" i="1"/>
  <c r="E64" i="1"/>
  <c r="F64" i="1" s="1"/>
  <c r="C65" i="1"/>
  <c r="D65" i="1"/>
  <c r="E65" i="1" s="1"/>
  <c r="F65" i="1" s="1"/>
  <c r="C66" i="1"/>
  <c r="D66" i="1"/>
  <c r="E66" i="1" s="1"/>
  <c r="F66" i="1" s="1"/>
  <c r="C67" i="1"/>
  <c r="D67" i="1"/>
  <c r="E67" i="1" s="1"/>
  <c r="F67" i="1" s="1"/>
  <c r="C68" i="1"/>
  <c r="D68" i="1"/>
  <c r="E68" i="1" s="1"/>
  <c r="F68" i="1" s="1"/>
  <c r="C69" i="1"/>
  <c r="D69" i="1"/>
  <c r="E69" i="1" s="1"/>
  <c r="F69" i="1" s="1"/>
  <c r="C70" i="1"/>
  <c r="D70" i="1"/>
  <c r="E70" i="1"/>
  <c r="F70" i="1" s="1"/>
  <c r="C71" i="1"/>
  <c r="D71" i="1"/>
  <c r="E71" i="1" s="1"/>
  <c r="F71" i="1" s="1"/>
  <c r="C72" i="1"/>
  <c r="D72" i="1"/>
  <c r="E72" i="1" s="1"/>
  <c r="F72" i="1" s="1"/>
  <c r="C73" i="1"/>
  <c r="D73" i="1"/>
  <c r="E73" i="1" s="1"/>
  <c r="F73" i="1" s="1"/>
  <c r="C74" i="1"/>
  <c r="D74" i="1"/>
  <c r="E74" i="1" s="1"/>
  <c r="F74" i="1" s="1"/>
  <c r="C75" i="1"/>
  <c r="D75" i="1"/>
  <c r="E75" i="1" s="1"/>
  <c r="F75" i="1" s="1"/>
  <c r="C76" i="1"/>
  <c r="D76" i="1"/>
  <c r="E76" i="1" s="1"/>
  <c r="F76" i="1" s="1"/>
  <c r="C77" i="1"/>
  <c r="D77" i="1"/>
  <c r="E77" i="1" s="1"/>
  <c r="F77" i="1" s="1"/>
  <c r="C78" i="1"/>
  <c r="D78" i="1"/>
  <c r="E78" i="1" s="1"/>
  <c r="F78" i="1" s="1"/>
  <c r="C79" i="1"/>
  <c r="D79" i="1"/>
  <c r="E79" i="1" s="1"/>
  <c r="F79" i="1" s="1"/>
  <c r="C80" i="1"/>
  <c r="D80" i="1"/>
  <c r="E80" i="1"/>
  <c r="F80" i="1" s="1"/>
  <c r="C81" i="1"/>
  <c r="D81" i="1"/>
  <c r="E81" i="1"/>
  <c r="F81" i="1" s="1"/>
  <c r="C82" i="1"/>
  <c r="D82" i="1"/>
  <c r="E82" i="1" s="1"/>
  <c r="F82" i="1" s="1"/>
  <c r="C83" i="1"/>
  <c r="D83" i="1"/>
  <c r="E83" i="1" s="1"/>
  <c r="F83" i="1" s="1"/>
  <c r="C84" i="1"/>
  <c r="D84" i="1"/>
  <c r="E84" i="1" s="1"/>
  <c r="F84" i="1" s="1"/>
  <c r="C85" i="1"/>
  <c r="D85" i="1"/>
  <c r="E85" i="1" s="1"/>
  <c r="F85" i="1" s="1"/>
  <c r="C86" i="1"/>
  <c r="D86" i="1"/>
  <c r="E86" i="1" s="1"/>
  <c r="F86" i="1" s="1"/>
  <c r="C87" i="1"/>
  <c r="D87" i="1"/>
  <c r="E87" i="1" s="1"/>
  <c r="F87" i="1" s="1"/>
  <c r="C88" i="1"/>
  <c r="D88" i="1"/>
  <c r="E88" i="1" s="1"/>
  <c r="F88" i="1" s="1"/>
  <c r="C89" i="1"/>
  <c r="D89" i="1"/>
  <c r="E89" i="1" s="1"/>
  <c r="F89" i="1" s="1"/>
  <c r="C90" i="1"/>
  <c r="D90" i="1"/>
  <c r="E90" i="1" s="1"/>
  <c r="F90" i="1" s="1"/>
  <c r="C91" i="1"/>
  <c r="D91" i="1"/>
  <c r="E91" i="1" s="1"/>
  <c r="F91" i="1" s="1"/>
  <c r="C92" i="1"/>
  <c r="D92" i="1"/>
  <c r="E92" i="1" s="1"/>
  <c r="F92" i="1" s="1"/>
  <c r="C3" i="1"/>
  <c r="D3" i="1"/>
  <c r="E3" i="1" s="1"/>
  <c r="C4" i="1"/>
  <c r="D4" i="1"/>
  <c r="E4" i="1" s="1"/>
  <c r="F4" i="1" s="1"/>
  <c r="C5" i="1"/>
  <c r="D5" i="1"/>
  <c r="E5" i="1" s="1"/>
  <c r="F5" i="1" s="1"/>
  <c r="C6" i="1"/>
  <c r="D6" i="1"/>
  <c r="E6" i="1" s="1"/>
  <c r="F6" i="1" s="1"/>
  <c r="C7" i="1"/>
  <c r="D7" i="1"/>
  <c r="E7" i="1" s="1"/>
  <c r="F7" i="1" s="1"/>
  <c r="C8" i="1"/>
  <c r="D8" i="1"/>
  <c r="E8" i="1" s="1"/>
  <c r="F8" i="1" s="1"/>
  <c r="C9" i="1"/>
  <c r="D9" i="1"/>
  <c r="E9" i="1" s="1"/>
  <c r="F9" i="1" s="1"/>
  <c r="C10" i="1"/>
  <c r="D10" i="1"/>
  <c r="E10" i="1" s="1"/>
  <c r="F10" i="1" s="1"/>
  <c r="C11" i="1"/>
  <c r="D11" i="1"/>
  <c r="E11" i="1" s="1"/>
  <c r="F11" i="1" s="1"/>
  <c r="C12" i="1"/>
  <c r="D12" i="1"/>
  <c r="E12" i="1" s="1"/>
  <c r="F12" i="1" s="1"/>
  <c r="C13" i="1"/>
  <c r="D13" i="1"/>
  <c r="E13" i="1" s="1"/>
  <c r="F13" i="1" s="1"/>
  <c r="C14" i="1"/>
  <c r="D14" i="1"/>
  <c r="E14" i="1" s="1"/>
  <c r="F14" i="1" s="1"/>
  <c r="C15" i="1"/>
  <c r="D15" i="1"/>
  <c r="E15" i="1" s="1"/>
  <c r="F15" i="1" s="1"/>
  <c r="C16" i="1"/>
  <c r="D16" i="1"/>
  <c r="E16" i="1" s="1"/>
  <c r="F16" i="1" s="1"/>
  <c r="C17" i="1"/>
  <c r="D17" i="1"/>
  <c r="E17" i="1" s="1"/>
  <c r="F17" i="1" s="1"/>
  <c r="C18" i="1"/>
  <c r="D18" i="1"/>
  <c r="E18" i="1" s="1"/>
  <c r="F18" i="1" s="1"/>
  <c r="C19" i="1"/>
  <c r="D19" i="1"/>
  <c r="E19" i="1" s="1"/>
  <c r="F19" i="1" s="1"/>
  <c r="C20" i="1"/>
  <c r="D20" i="1"/>
  <c r="E20" i="1" s="1"/>
  <c r="F20" i="1" s="1"/>
  <c r="C21" i="1"/>
  <c r="D21" i="1"/>
  <c r="E21" i="1" s="1"/>
  <c r="F21" i="1" s="1"/>
  <c r="C22" i="1"/>
  <c r="D22" i="1"/>
  <c r="E22" i="1" s="1"/>
  <c r="F22" i="1" s="1"/>
  <c r="C23" i="1"/>
  <c r="D23" i="1"/>
  <c r="E23" i="1" s="1"/>
  <c r="F23" i="1" s="1"/>
  <c r="C24" i="1"/>
  <c r="D24" i="1"/>
  <c r="E24" i="1" s="1"/>
  <c r="F24" i="1" s="1"/>
  <c r="C25" i="1"/>
  <c r="D25" i="1"/>
  <c r="E25" i="1" s="1"/>
  <c r="F25" i="1" s="1"/>
  <c r="C26" i="1"/>
  <c r="D26" i="1"/>
  <c r="E26" i="1" s="1"/>
  <c r="F26" i="1" s="1"/>
  <c r="C27" i="1"/>
  <c r="D27" i="1"/>
  <c r="E27" i="1" s="1"/>
  <c r="F27" i="1" s="1"/>
  <c r="C28" i="1"/>
  <c r="D28" i="1"/>
  <c r="E28" i="1" s="1"/>
  <c r="F28" i="1" s="1"/>
  <c r="C29" i="1"/>
  <c r="D29" i="1"/>
  <c r="E29" i="1" s="1"/>
  <c r="F29" i="1" s="1"/>
  <c r="C30" i="1"/>
  <c r="D30" i="1"/>
  <c r="E30" i="1" s="1"/>
  <c r="F30" i="1" s="1"/>
  <c r="C31" i="1"/>
  <c r="D31" i="1"/>
  <c r="E31" i="1" s="1"/>
  <c r="F31" i="1" s="1"/>
  <c r="C32" i="1"/>
  <c r="D32" i="1"/>
  <c r="E32" i="1" s="1"/>
  <c r="F32" i="1" s="1"/>
  <c r="C33" i="1"/>
  <c r="D33" i="1"/>
  <c r="E33" i="1" s="1"/>
  <c r="F33" i="1" s="1"/>
  <c r="C34" i="1"/>
  <c r="D34" i="1"/>
  <c r="E34" i="1" s="1"/>
  <c r="F34" i="1" s="1"/>
  <c r="C35" i="1"/>
  <c r="D35" i="1"/>
  <c r="E35" i="1" s="1"/>
  <c r="F35" i="1" s="1"/>
  <c r="C36" i="1"/>
  <c r="D36" i="1"/>
  <c r="E36" i="1" s="1"/>
  <c r="F36" i="1" s="1"/>
  <c r="C37" i="1"/>
  <c r="D37" i="1"/>
  <c r="E37" i="1" s="1"/>
  <c r="F37" i="1" s="1"/>
  <c r="C38" i="1"/>
  <c r="D38" i="1"/>
  <c r="E38" i="1" s="1"/>
  <c r="F38" i="1" s="1"/>
  <c r="C39" i="1"/>
  <c r="D39" i="1"/>
  <c r="E39" i="1" s="1"/>
  <c r="F39" i="1" s="1"/>
  <c r="C40" i="1"/>
  <c r="D40" i="1"/>
  <c r="E40" i="1" s="1"/>
  <c r="F40" i="1" s="1"/>
  <c r="C41" i="1"/>
  <c r="D41" i="1"/>
  <c r="E41" i="1" s="1"/>
  <c r="F41" i="1" s="1"/>
  <c r="C42" i="1"/>
  <c r="D42" i="1"/>
  <c r="E42" i="1" s="1"/>
  <c r="F42" i="1" s="1"/>
  <c r="C43" i="1"/>
  <c r="D43" i="1"/>
  <c r="E43" i="1" s="1"/>
  <c r="F43" i="1" s="1"/>
  <c r="C44" i="1"/>
  <c r="D44" i="1"/>
  <c r="E44" i="1" s="1"/>
  <c r="F44" i="1" s="1"/>
  <c r="C45" i="1"/>
  <c r="D45" i="1"/>
  <c r="E45" i="1" s="1"/>
  <c r="F45" i="1" s="1"/>
  <c r="C46" i="1"/>
  <c r="D46" i="1"/>
  <c r="E46" i="1" s="1"/>
  <c r="F46" i="1" s="1"/>
  <c r="C47" i="1"/>
  <c r="D47" i="1"/>
  <c r="E47" i="1" s="1"/>
  <c r="F47" i="1" s="1"/>
  <c r="C48" i="1"/>
  <c r="D48" i="1"/>
  <c r="E48" i="1" s="1"/>
  <c r="F48" i="1" s="1"/>
  <c r="C49" i="1"/>
  <c r="D49" i="1"/>
  <c r="E49" i="1" s="1"/>
  <c r="F49" i="1" s="1"/>
  <c r="C50" i="1"/>
  <c r="D50" i="1"/>
  <c r="E50" i="1" s="1"/>
  <c r="F50" i="1" s="1"/>
  <c r="C51" i="1"/>
  <c r="D51" i="1"/>
  <c r="E51" i="1" s="1"/>
  <c r="F51" i="1" s="1"/>
  <c r="C52" i="1"/>
  <c r="D52" i="1"/>
  <c r="E52" i="1" s="1"/>
  <c r="F52" i="1" s="1"/>
  <c r="C53" i="1"/>
  <c r="D53" i="1"/>
  <c r="E53" i="1" s="1"/>
  <c r="F53" i="1" s="1"/>
  <c r="C54" i="1"/>
  <c r="D54" i="1"/>
  <c r="E54" i="1" s="1"/>
  <c r="F54" i="1" s="1"/>
  <c r="D2" i="1"/>
  <c r="C2" i="1"/>
  <c r="J4" i="1"/>
  <c r="G128" i="1" l="1"/>
  <c r="F161" i="1"/>
  <c r="G161" i="1"/>
  <c r="G173" i="1"/>
  <c r="G119" i="1"/>
  <c r="G164" i="1"/>
  <c r="G200" i="1"/>
  <c r="G195" i="1"/>
  <c r="G206" i="1"/>
  <c r="G134" i="1"/>
  <c r="G159" i="1"/>
  <c r="G117" i="1"/>
  <c r="G142" i="1"/>
  <c r="G154" i="1"/>
  <c r="G167" i="1"/>
  <c r="G122" i="1"/>
  <c r="G97" i="1"/>
  <c r="G145" i="1"/>
  <c r="G114" i="1"/>
  <c r="G94" i="1"/>
  <c r="G106" i="1"/>
  <c r="F203" i="1"/>
  <c r="G203" i="1" s="1"/>
  <c r="G153" i="1"/>
  <c r="G192" i="1"/>
  <c r="G125" i="1"/>
  <c r="G184" i="1"/>
  <c r="G178" i="1"/>
  <c r="G133" i="1"/>
  <c r="G205" i="1"/>
  <c r="G100" i="1"/>
  <c r="G120" i="1"/>
  <c r="G185" i="1"/>
  <c r="G210" i="1"/>
  <c r="G170" i="1"/>
  <c r="G174" i="1"/>
  <c r="G189" i="1"/>
  <c r="G175" i="1"/>
  <c r="G105" i="1"/>
  <c r="G139" i="1"/>
  <c r="G201" i="1"/>
  <c r="G150" i="1"/>
  <c r="G108" i="1"/>
  <c r="G181" i="1"/>
  <c r="G147" i="1"/>
  <c r="G198" i="1"/>
  <c r="G162" i="1"/>
  <c r="G123" i="1"/>
  <c r="G204" i="1"/>
  <c r="G157" i="1"/>
  <c r="G95" i="1"/>
  <c r="G193" i="1"/>
  <c r="G109" i="1"/>
  <c r="G165" i="1"/>
  <c r="G151" i="1"/>
  <c r="G137" i="1"/>
  <c r="G179" i="1"/>
  <c r="G190" i="1"/>
  <c r="G166" i="1"/>
  <c r="G143" i="1"/>
  <c r="G132" i="1"/>
  <c r="G112" i="1"/>
  <c r="G146" i="1"/>
  <c r="G126" i="1"/>
  <c r="G196" i="1"/>
  <c r="F130" i="1"/>
  <c r="G130" i="1" s="1"/>
  <c r="G191" i="1"/>
  <c r="G160" i="1"/>
  <c r="G140" i="1"/>
  <c r="F113" i="1"/>
  <c r="G113" i="1" s="1"/>
  <c r="F102" i="1"/>
  <c r="G102" i="1" s="1"/>
  <c r="F197" i="1"/>
  <c r="G197" i="1" s="1"/>
  <c r="G138" i="1"/>
  <c r="F107" i="1"/>
  <c r="G107" i="1" s="1"/>
  <c r="G104" i="1"/>
  <c r="F99" i="1"/>
  <c r="G99" i="1"/>
  <c r="F116" i="1"/>
  <c r="G116" i="1"/>
  <c r="F158" i="1"/>
  <c r="G158" i="1" s="1"/>
  <c r="G115" i="1"/>
  <c r="G180" i="1"/>
  <c r="G168" i="1"/>
  <c r="F141" i="1"/>
  <c r="G141" i="1" s="1"/>
  <c r="F183" i="1"/>
  <c r="G183" i="1"/>
  <c r="F121" i="1"/>
  <c r="G121" i="1"/>
  <c r="G171" i="1"/>
  <c r="G208" i="1"/>
  <c r="G199" i="1"/>
  <c r="G182" i="1"/>
  <c r="F144" i="1"/>
  <c r="G144" i="1" s="1"/>
  <c r="F194" i="1"/>
  <c r="G194" i="1"/>
  <c r="F186" i="1"/>
  <c r="G186" i="1" s="1"/>
  <c r="F207" i="1"/>
  <c r="G207" i="1" s="1"/>
  <c r="G96" i="1"/>
  <c r="G110" i="1"/>
  <c r="G152" i="1"/>
  <c r="G129" i="1"/>
  <c r="G118" i="1"/>
  <c r="F202" i="1"/>
  <c r="G202" i="1"/>
  <c r="F155" i="1"/>
  <c r="G155" i="1" s="1"/>
  <c r="G124" i="1"/>
  <c r="G101" i="1"/>
  <c r="F93" i="1"/>
  <c r="G93" i="1" s="1"/>
  <c r="F177" i="1"/>
  <c r="G177" i="1" s="1"/>
  <c r="F127" i="1"/>
  <c r="G127" i="1" s="1"/>
  <c r="F169" i="1"/>
  <c r="G169" i="1" s="1"/>
  <c r="F149" i="1"/>
  <c r="G149" i="1" s="1"/>
  <c r="F188" i="1"/>
  <c r="G188" i="1"/>
  <c r="F172" i="1"/>
  <c r="G172" i="1" s="1"/>
  <c r="F209" i="1"/>
  <c r="G209" i="1" s="1"/>
  <c r="G98" i="1"/>
  <c r="F163" i="1"/>
  <c r="G163" i="1"/>
  <c r="F135" i="1"/>
  <c r="G135" i="1"/>
  <c r="G75" i="1"/>
  <c r="G89" i="1"/>
  <c r="G65" i="1"/>
  <c r="G78" i="1"/>
  <c r="G72" i="1"/>
  <c r="G79" i="1"/>
  <c r="G64" i="1"/>
  <c r="G88" i="1"/>
  <c r="G91" i="1"/>
  <c r="G83" i="1"/>
  <c r="G61" i="1"/>
  <c r="G90" i="1"/>
  <c r="G76" i="1"/>
  <c r="G67" i="1"/>
  <c r="G87" i="1"/>
  <c r="G82" i="1"/>
  <c r="G66" i="1"/>
  <c r="G63" i="1"/>
  <c r="G86" i="1"/>
  <c r="G81" i="1"/>
  <c r="G92" i="1"/>
  <c r="G80" i="1"/>
  <c r="G62" i="1"/>
  <c r="G77" i="1"/>
  <c r="G68" i="1"/>
  <c r="G71" i="1"/>
  <c r="G60" i="1"/>
  <c r="G59" i="1"/>
  <c r="G70" i="1"/>
  <c r="F58" i="1"/>
  <c r="G58" i="1" s="1"/>
  <c r="G85" i="1"/>
  <c r="G57" i="1"/>
  <c r="G74" i="1"/>
  <c r="G84" i="1"/>
  <c r="G73" i="1"/>
  <c r="F55" i="1"/>
  <c r="G55" i="1"/>
  <c r="G56" i="1"/>
  <c r="G69" i="1"/>
  <c r="G4" i="1"/>
  <c r="G9" i="1"/>
  <c r="G7" i="1"/>
  <c r="G46" i="1"/>
  <c r="G32" i="1"/>
  <c r="G13" i="1"/>
  <c r="G35" i="1"/>
  <c r="G43" i="1"/>
  <c r="G23" i="1"/>
  <c r="G54" i="1"/>
  <c r="G12" i="1"/>
  <c r="G38" i="1"/>
  <c r="G16" i="1"/>
  <c r="G37" i="1"/>
  <c r="G29" i="1"/>
  <c r="G52" i="1"/>
  <c r="G40" i="1"/>
  <c r="G18" i="1"/>
  <c r="G26" i="1"/>
  <c r="G49" i="1"/>
  <c r="G30" i="1"/>
  <c r="G15" i="1"/>
  <c r="G10" i="1"/>
  <c r="G31" i="1"/>
  <c r="L3" i="1"/>
  <c r="L2" i="1" s="1"/>
  <c r="G27" i="1"/>
  <c r="G44" i="1"/>
  <c r="G51" i="1"/>
  <c r="G24" i="1"/>
  <c r="G21" i="1"/>
  <c r="G41" i="1"/>
  <c r="G6" i="1"/>
  <c r="G48" i="1"/>
  <c r="G47" i="1"/>
  <c r="G20" i="1"/>
  <c r="G33" i="1"/>
  <c r="G19" i="1"/>
  <c r="G14" i="1"/>
  <c r="G34" i="1"/>
  <c r="E2" i="1"/>
  <c r="F2" i="1" s="1"/>
  <c r="G5" i="1"/>
  <c r="G17" i="1"/>
  <c r="G50" i="1"/>
  <c r="G36" i="1"/>
  <c r="G22" i="1"/>
  <c r="G53" i="1"/>
  <c r="G39" i="1"/>
  <c r="G8" i="1"/>
  <c r="G42" i="1"/>
  <c r="G25" i="1"/>
  <c r="G45" i="1"/>
  <c r="F3" i="1"/>
  <c r="G3" i="1" s="1"/>
  <c r="G28" i="1"/>
  <c r="G11" i="1"/>
  <c r="G2" i="1" l="1"/>
  <c r="K2" i="1" s="1"/>
  <c r="K3" i="1" s="1"/>
</calcChain>
</file>

<file path=xl/sharedStrings.xml><?xml version="1.0" encoding="utf-8"?>
<sst xmlns="http://schemas.openxmlformats.org/spreadsheetml/2006/main" count="10" uniqueCount="10">
  <si>
    <t>start</t>
  </si>
  <si>
    <t>end</t>
  </si>
  <si>
    <t>Range</t>
  </si>
  <si>
    <t>Min. surv.</t>
  </si>
  <si>
    <t>Gamb. Ruin</t>
  </si>
  <si>
    <t>Avg.</t>
  </si>
  <si>
    <t>COUNT</t>
  </si>
  <si>
    <t>n</t>
  </si>
  <si>
    <t>Predicted</t>
  </si>
  <si>
    <t>Actual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</si>
</sst>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" fontId="0" fillId="0" borderId="0" xfId="0" applyNumberFormat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A1173-CFAE-6C45-8A39-51B7159AEDE4}">
  <dimension ref="A1:L210"/>
  <sheetViews>
    <sheetView tabSelected="1" workbookViewId="0">
      <selection activeCell="K16" sqref="K16"/>
    </sheetView>
  </sheetViews>
  <sheetFormatPr baseColWidth="10" defaultRowHeight="16" x14ac:dyDescent="0.2"/>
  <cols>
    <col min="3" max="16384" width="10.83203125" style="1"/>
  </cols>
  <sheetData>
    <row r="1" spans="1:12" x14ac:dyDescent="0.2">
      <c r="A1" t="s">
        <v>0</v>
      </c>
      <c r="B1" t="s">
        <v>1</v>
      </c>
      <c r="E1" s="1" t="s">
        <v>3</v>
      </c>
      <c r="F1" s="1" t="s">
        <v>2</v>
      </c>
      <c r="G1" s="1" t="s">
        <v>4</v>
      </c>
      <c r="K1" s="1" t="s">
        <v>8</v>
      </c>
      <c r="L1" s="1" t="s">
        <v>9</v>
      </c>
    </row>
    <row r="2" spans="1:12" x14ac:dyDescent="0.2">
      <c r="A2">
        <v>0.19350000000000001</v>
      </c>
      <c r="B2">
        <v>6.25E-2</v>
      </c>
      <c r="C2" s="1">
        <f>A2*$J$7</f>
        <v>387</v>
      </c>
      <c r="D2" s="1">
        <f>B2*$J$7</f>
        <v>125</v>
      </c>
      <c r="E2" s="1">
        <f>MIN(D2,$J$7-D2)</f>
        <v>125</v>
      </c>
      <c r="F2" s="1">
        <f>$J$7-2*E2</f>
        <v>1750</v>
      </c>
      <c r="G2" s="1">
        <f>(C2-E2)/F2</f>
        <v>0.14971428571428572</v>
      </c>
      <c r="K2" s="1">
        <f>AVERAGE(G:G)</f>
        <v>0.13527809895349432</v>
      </c>
      <c r="L2" s="1">
        <f>L3/J4</f>
        <v>0.11483253588516747</v>
      </c>
    </row>
    <row r="3" spans="1:12" x14ac:dyDescent="0.2">
      <c r="A3">
        <v>0.21099999999999999</v>
      </c>
      <c r="B3">
        <v>6.9000000000000006E-2</v>
      </c>
      <c r="C3" s="1">
        <f t="shared" ref="C3:C54" si="0">A3*$J$7</f>
        <v>422</v>
      </c>
      <c r="D3" s="1">
        <f t="shared" ref="D3:D54" si="1">B3*$J$7</f>
        <v>138</v>
      </c>
      <c r="E3" s="1">
        <f t="shared" ref="E3:E66" si="2">MIN(D3,$J$7-D3)</f>
        <v>138</v>
      </c>
      <c r="F3" s="1">
        <f t="shared" ref="F3:F66" si="3">$J$7-2*E3</f>
        <v>1724</v>
      </c>
      <c r="G3" s="1">
        <f t="shared" ref="G3:G54" si="4">(C3-E3)/F3</f>
        <v>0.16473317865429235</v>
      </c>
      <c r="I3" s="1" t="s">
        <v>5</v>
      </c>
      <c r="K3" s="1">
        <f>K2*J4</f>
        <v>28.273122681280313</v>
      </c>
      <c r="L3" s="1">
        <f>COUNTIF(D:D,_xlfn.CONCAT("&gt;",$J$7/2))</f>
        <v>24</v>
      </c>
    </row>
    <row r="4" spans="1:12" x14ac:dyDescent="0.2">
      <c r="A4">
        <v>0.20799999999999999</v>
      </c>
      <c r="B4">
        <v>6.9500000000000006E-2</v>
      </c>
      <c r="C4" s="1">
        <f t="shared" si="0"/>
        <v>416</v>
      </c>
      <c r="D4" s="1">
        <f t="shared" si="1"/>
        <v>139</v>
      </c>
      <c r="E4" s="1">
        <f t="shared" si="2"/>
        <v>139</v>
      </c>
      <c r="F4" s="1">
        <f t="shared" si="3"/>
        <v>1722</v>
      </c>
      <c r="G4" s="1">
        <f t="shared" si="4"/>
        <v>0.16085946573751453</v>
      </c>
      <c r="I4" s="1" t="s">
        <v>6</v>
      </c>
      <c r="J4" s="1">
        <f>COUNT(A:A)</f>
        <v>209</v>
      </c>
    </row>
    <row r="5" spans="1:12" x14ac:dyDescent="0.2">
      <c r="A5">
        <v>0.19800000000000001</v>
      </c>
      <c r="B5">
        <v>7.0000000000000007E-2</v>
      </c>
      <c r="C5" s="1">
        <f t="shared" si="0"/>
        <v>396</v>
      </c>
      <c r="D5" s="1">
        <f t="shared" si="1"/>
        <v>140</v>
      </c>
      <c r="E5" s="1">
        <f t="shared" si="2"/>
        <v>140</v>
      </c>
      <c r="F5" s="1">
        <f t="shared" si="3"/>
        <v>1720</v>
      </c>
      <c r="G5" s="1">
        <f t="shared" si="4"/>
        <v>0.14883720930232558</v>
      </c>
    </row>
    <row r="6" spans="1:12" x14ac:dyDescent="0.2">
      <c r="A6">
        <v>0.19500000000000001</v>
      </c>
      <c r="B6">
        <v>7.0499999999999993E-2</v>
      </c>
      <c r="C6" s="1">
        <f t="shared" si="0"/>
        <v>390</v>
      </c>
      <c r="D6" s="1">
        <f t="shared" si="1"/>
        <v>141</v>
      </c>
      <c r="E6" s="1">
        <f t="shared" si="2"/>
        <v>141</v>
      </c>
      <c r="F6" s="1">
        <f t="shared" si="3"/>
        <v>1718</v>
      </c>
      <c r="G6" s="1">
        <f t="shared" si="4"/>
        <v>0.14493597206053552</v>
      </c>
    </row>
    <row r="7" spans="1:12" x14ac:dyDescent="0.2">
      <c r="A7">
        <v>0.20100000000000001</v>
      </c>
      <c r="B7">
        <v>7.0999999999999994E-2</v>
      </c>
      <c r="C7" s="1">
        <f t="shared" si="0"/>
        <v>402</v>
      </c>
      <c r="D7" s="1">
        <f t="shared" si="1"/>
        <v>142</v>
      </c>
      <c r="E7" s="1">
        <f t="shared" si="2"/>
        <v>142</v>
      </c>
      <c r="F7" s="1">
        <f t="shared" si="3"/>
        <v>1716</v>
      </c>
      <c r="G7" s="1">
        <f t="shared" si="4"/>
        <v>0.15151515151515152</v>
      </c>
      <c r="I7" s="1" t="s">
        <v>7</v>
      </c>
      <c r="J7" s="1">
        <v>2000</v>
      </c>
    </row>
    <row r="8" spans="1:12" x14ac:dyDescent="0.2">
      <c r="A8">
        <v>0.2135</v>
      </c>
      <c r="B8">
        <v>7.0999999999999994E-2</v>
      </c>
      <c r="C8" s="1">
        <f t="shared" si="0"/>
        <v>427</v>
      </c>
      <c r="D8" s="1">
        <f t="shared" si="1"/>
        <v>142</v>
      </c>
      <c r="E8" s="1">
        <f t="shared" si="2"/>
        <v>142</v>
      </c>
      <c r="F8" s="1">
        <f t="shared" si="3"/>
        <v>1716</v>
      </c>
      <c r="G8" s="1">
        <f t="shared" si="4"/>
        <v>0.16608391608391609</v>
      </c>
    </row>
    <row r="9" spans="1:12" x14ac:dyDescent="0.2">
      <c r="A9">
        <v>0.20150000000000001</v>
      </c>
      <c r="B9">
        <v>7.1499999999999994E-2</v>
      </c>
      <c r="C9" s="1">
        <f t="shared" si="0"/>
        <v>403</v>
      </c>
      <c r="D9" s="1">
        <f t="shared" si="1"/>
        <v>143</v>
      </c>
      <c r="E9" s="1">
        <f t="shared" si="2"/>
        <v>143</v>
      </c>
      <c r="F9" s="1">
        <f t="shared" si="3"/>
        <v>1714</v>
      </c>
      <c r="G9" s="1">
        <f t="shared" si="4"/>
        <v>0.1516919486581097</v>
      </c>
    </row>
    <row r="10" spans="1:12" x14ac:dyDescent="0.2">
      <c r="A10">
        <v>0.20949999999999999</v>
      </c>
      <c r="B10">
        <v>7.1999999999999995E-2</v>
      </c>
      <c r="C10" s="1">
        <f t="shared" si="0"/>
        <v>419</v>
      </c>
      <c r="D10" s="1">
        <f t="shared" si="1"/>
        <v>144</v>
      </c>
      <c r="E10" s="1">
        <f t="shared" si="2"/>
        <v>144</v>
      </c>
      <c r="F10" s="1">
        <f t="shared" si="3"/>
        <v>1712</v>
      </c>
      <c r="G10" s="1">
        <f t="shared" si="4"/>
        <v>0.16063084112149534</v>
      </c>
    </row>
    <row r="11" spans="1:12" x14ac:dyDescent="0.2">
      <c r="A11">
        <v>0.19750000000000001</v>
      </c>
      <c r="B11">
        <v>7.3499999999999996E-2</v>
      </c>
      <c r="C11" s="1">
        <f t="shared" si="0"/>
        <v>395</v>
      </c>
      <c r="D11" s="1">
        <f t="shared" si="1"/>
        <v>147</v>
      </c>
      <c r="E11" s="1">
        <f t="shared" si="2"/>
        <v>147</v>
      </c>
      <c r="F11" s="1">
        <f t="shared" si="3"/>
        <v>1706</v>
      </c>
      <c r="G11" s="1">
        <f t="shared" si="4"/>
        <v>0.14536928487690504</v>
      </c>
    </row>
    <row r="12" spans="1:12" x14ac:dyDescent="0.2">
      <c r="A12">
        <v>0.189</v>
      </c>
      <c r="B12">
        <v>7.3999999999999996E-2</v>
      </c>
      <c r="C12" s="1">
        <f t="shared" si="0"/>
        <v>378</v>
      </c>
      <c r="D12" s="1">
        <f t="shared" si="1"/>
        <v>148</v>
      </c>
      <c r="E12" s="1">
        <f t="shared" si="2"/>
        <v>148</v>
      </c>
      <c r="F12" s="1">
        <f t="shared" si="3"/>
        <v>1704</v>
      </c>
      <c r="G12" s="1">
        <f t="shared" si="4"/>
        <v>0.13497652582159625</v>
      </c>
    </row>
    <row r="13" spans="1:12" x14ac:dyDescent="0.2">
      <c r="A13">
        <v>0.20150000000000001</v>
      </c>
      <c r="B13">
        <v>7.4499999999999997E-2</v>
      </c>
      <c r="C13" s="1">
        <f t="shared" si="0"/>
        <v>403</v>
      </c>
      <c r="D13" s="1">
        <f t="shared" si="1"/>
        <v>149</v>
      </c>
      <c r="E13" s="1">
        <f t="shared" si="2"/>
        <v>149</v>
      </c>
      <c r="F13" s="1">
        <f t="shared" si="3"/>
        <v>1702</v>
      </c>
      <c r="G13" s="1">
        <f t="shared" si="4"/>
        <v>0.1492361927144536</v>
      </c>
    </row>
    <row r="14" spans="1:12" x14ac:dyDescent="0.2">
      <c r="A14">
        <v>0.1885</v>
      </c>
      <c r="B14">
        <v>7.4499999999999997E-2</v>
      </c>
      <c r="C14" s="1">
        <f t="shared" si="0"/>
        <v>377</v>
      </c>
      <c r="D14" s="1">
        <f t="shared" si="1"/>
        <v>149</v>
      </c>
      <c r="E14" s="1">
        <f t="shared" si="2"/>
        <v>149</v>
      </c>
      <c r="F14" s="1">
        <f t="shared" si="3"/>
        <v>1702</v>
      </c>
      <c r="G14" s="1">
        <f t="shared" si="4"/>
        <v>0.13396004700352526</v>
      </c>
    </row>
    <row r="15" spans="1:12" x14ac:dyDescent="0.2">
      <c r="A15">
        <v>0.20649999999999999</v>
      </c>
      <c r="B15">
        <v>7.5999999999999998E-2</v>
      </c>
      <c r="C15" s="1">
        <f t="shared" si="0"/>
        <v>413</v>
      </c>
      <c r="D15" s="1">
        <f t="shared" si="1"/>
        <v>152</v>
      </c>
      <c r="E15" s="1">
        <f t="shared" si="2"/>
        <v>152</v>
      </c>
      <c r="F15" s="1">
        <f t="shared" si="3"/>
        <v>1696</v>
      </c>
      <c r="G15" s="1">
        <f t="shared" si="4"/>
        <v>0.15389150943396226</v>
      </c>
    </row>
    <row r="16" spans="1:12" x14ac:dyDescent="0.2">
      <c r="A16">
        <v>0.1895</v>
      </c>
      <c r="B16">
        <v>7.5999999999999998E-2</v>
      </c>
      <c r="C16" s="1">
        <f t="shared" si="0"/>
        <v>379</v>
      </c>
      <c r="D16" s="1">
        <f t="shared" si="1"/>
        <v>152</v>
      </c>
      <c r="E16" s="1">
        <f t="shared" si="2"/>
        <v>152</v>
      </c>
      <c r="F16" s="1">
        <f t="shared" si="3"/>
        <v>1696</v>
      </c>
      <c r="G16" s="1">
        <f t="shared" si="4"/>
        <v>0.1338443396226415</v>
      </c>
    </row>
    <row r="17" spans="1:7" x14ac:dyDescent="0.2">
      <c r="A17">
        <v>0.20749999999999999</v>
      </c>
      <c r="B17">
        <v>7.5999999999999998E-2</v>
      </c>
      <c r="C17" s="1">
        <f t="shared" si="0"/>
        <v>415</v>
      </c>
      <c r="D17" s="1">
        <f t="shared" si="1"/>
        <v>152</v>
      </c>
      <c r="E17" s="1">
        <f t="shared" si="2"/>
        <v>152</v>
      </c>
      <c r="F17" s="1">
        <f t="shared" si="3"/>
        <v>1696</v>
      </c>
      <c r="G17" s="1">
        <f t="shared" si="4"/>
        <v>0.15507075471698112</v>
      </c>
    </row>
    <row r="18" spans="1:7" x14ac:dyDescent="0.2">
      <c r="A18">
        <v>0.2</v>
      </c>
      <c r="B18">
        <v>7.6499999999999999E-2</v>
      </c>
      <c r="C18" s="1">
        <f t="shared" si="0"/>
        <v>400</v>
      </c>
      <c r="D18" s="1">
        <f t="shared" si="1"/>
        <v>153</v>
      </c>
      <c r="E18" s="1">
        <f t="shared" si="2"/>
        <v>153</v>
      </c>
      <c r="F18" s="1">
        <f t="shared" si="3"/>
        <v>1694</v>
      </c>
      <c r="G18" s="1">
        <f t="shared" si="4"/>
        <v>0.14580873671782763</v>
      </c>
    </row>
    <row r="19" spans="1:7" x14ac:dyDescent="0.2">
      <c r="A19">
        <v>0.19750000000000001</v>
      </c>
      <c r="B19">
        <v>7.6999999999999999E-2</v>
      </c>
      <c r="C19" s="1">
        <f t="shared" si="0"/>
        <v>395</v>
      </c>
      <c r="D19" s="1">
        <f t="shared" si="1"/>
        <v>154</v>
      </c>
      <c r="E19" s="1">
        <f t="shared" si="2"/>
        <v>154</v>
      </c>
      <c r="F19" s="1">
        <f t="shared" si="3"/>
        <v>1692</v>
      </c>
      <c r="G19" s="1">
        <f t="shared" si="4"/>
        <v>0.14243498817966904</v>
      </c>
    </row>
    <row r="20" spans="1:7" x14ac:dyDescent="0.2">
      <c r="A20">
        <v>0.19400000000000001</v>
      </c>
      <c r="B20">
        <v>7.6999999999999999E-2</v>
      </c>
      <c r="C20" s="1">
        <f t="shared" si="0"/>
        <v>388</v>
      </c>
      <c r="D20" s="1">
        <f t="shared" si="1"/>
        <v>154</v>
      </c>
      <c r="E20" s="1">
        <f t="shared" si="2"/>
        <v>154</v>
      </c>
      <c r="F20" s="1">
        <f t="shared" si="3"/>
        <v>1692</v>
      </c>
      <c r="G20" s="1">
        <f t="shared" si="4"/>
        <v>0.13829787234042554</v>
      </c>
    </row>
    <row r="21" spans="1:7" x14ac:dyDescent="0.2">
      <c r="A21">
        <v>0.21</v>
      </c>
      <c r="B21">
        <v>7.6999999999999999E-2</v>
      </c>
      <c r="C21" s="1">
        <f t="shared" si="0"/>
        <v>420</v>
      </c>
      <c r="D21" s="1">
        <f t="shared" si="1"/>
        <v>154</v>
      </c>
      <c r="E21" s="1">
        <f t="shared" si="2"/>
        <v>154</v>
      </c>
      <c r="F21" s="1">
        <f t="shared" si="3"/>
        <v>1692</v>
      </c>
      <c r="G21" s="1">
        <f t="shared" si="4"/>
        <v>0.15721040189125296</v>
      </c>
    </row>
    <row r="22" spans="1:7" x14ac:dyDescent="0.2">
      <c r="A22">
        <v>0.19550000000000001</v>
      </c>
      <c r="B22">
        <v>7.7499999999999999E-2</v>
      </c>
      <c r="C22" s="1">
        <f t="shared" si="0"/>
        <v>391</v>
      </c>
      <c r="D22" s="1">
        <f t="shared" si="1"/>
        <v>155</v>
      </c>
      <c r="E22" s="1">
        <f t="shared" si="2"/>
        <v>155</v>
      </c>
      <c r="F22" s="1">
        <f t="shared" si="3"/>
        <v>1690</v>
      </c>
      <c r="G22" s="1">
        <f t="shared" si="4"/>
        <v>0.13964497041420118</v>
      </c>
    </row>
    <row r="23" spans="1:7" x14ac:dyDescent="0.2">
      <c r="A23">
        <v>0.191</v>
      </c>
      <c r="B23">
        <v>7.8E-2</v>
      </c>
      <c r="C23" s="1">
        <f t="shared" si="0"/>
        <v>382</v>
      </c>
      <c r="D23" s="1">
        <f t="shared" si="1"/>
        <v>156</v>
      </c>
      <c r="E23" s="1">
        <f t="shared" si="2"/>
        <v>156</v>
      </c>
      <c r="F23" s="1">
        <f t="shared" si="3"/>
        <v>1688</v>
      </c>
      <c r="G23" s="1">
        <f t="shared" si="4"/>
        <v>0.13388625592417061</v>
      </c>
    </row>
    <row r="24" spans="1:7" x14ac:dyDescent="0.2">
      <c r="A24">
        <v>0.19800000000000001</v>
      </c>
      <c r="B24">
        <v>7.8E-2</v>
      </c>
      <c r="C24" s="1">
        <f t="shared" si="0"/>
        <v>396</v>
      </c>
      <c r="D24" s="1">
        <f t="shared" si="1"/>
        <v>156</v>
      </c>
      <c r="E24" s="1">
        <f t="shared" si="2"/>
        <v>156</v>
      </c>
      <c r="F24" s="1">
        <f t="shared" si="3"/>
        <v>1688</v>
      </c>
      <c r="G24" s="1">
        <f t="shared" si="4"/>
        <v>0.14218009478672985</v>
      </c>
    </row>
    <row r="25" spans="1:7" x14ac:dyDescent="0.2">
      <c r="A25">
        <v>0.1905</v>
      </c>
      <c r="B25">
        <v>7.8E-2</v>
      </c>
      <c r="C25" s="1">
        <f t="shared" si="0"/>
        <v>381</v>
      </c>
      <c r="D25" s="1">
        <f t="shared" si="1"/>
        <v>156</v>
      </c>
      <c r="E25" s="1">
        <f t="shared" si="2"/>
        <v>156</v>
      </c>
      <c r="F25" s="1">
        <f t="shared" si="3"/>
        <v>1688</v>
      </c>
      <c r="G25" s="1">
        <f t="shared" si="4"/>
        <v>0.13329383886255924</v>
      </c>
    </row>
    <row r="26" spans="1:7" x14ac:dyDescent="0.2">
      <c r="A26">
        <v>0.19450000000000001</v>
      </c>
      <c r="B26">
        <v>7.85E-2</v>
      </c>
      <c r="C26" s="1">
        <f t="shared" si="0"/>
        <v>389</v>
      </c>
      <c r="D26" s="1">
        <f t="shared" si="1"/>
        <v>157</v>
      </c>
      <c r="E26" s="1">
        <f t="shared" si="2"/>
        <v>157</v>
      </c>
      <c r="F26" s="1">
        <f t="shared" si="3"/>
        <v>1686</v>
      </c>
      <c r="G26" s="1">
        <f t="shared" si="4"/>
        <v>0.13760379596678529</v>
      </c>
    </row>
    <row r="27" spans="1:7" x14ac:dyDescent="0.2">
      <c r="A27">
        <v>0.20799999999999999</v>
      </c>
      <c r="B27">
        <v>7.85E-2</v>
      </c>
      <c r="C27" s="1">
        <f t="shared" si="0"/>
        <v>416</v>
      </c>
      <c r="D27" s="1">
        <f t="shared" si="1"/>
        <v>157</v>
      </c>
      <c r="E27" s="1">
        <f t="shared" si="2"/>
        <v>157</v>
      </c>
      <c r="F27" s="1">
        <f t="shared" si="3"/>
        <v>1686</v>
      </c>
      <c r="G27" s="1">
        <f t="shared" si="4"/>
        <v>0.15361803084223014</v>
      </c>
    </row>
    <row r="28" spans="1:7" x14ac:dyDescent="0.2">
      <c r="A28">
        <v>0.19800000000000001</v>
      </c>
      <c r="B28">
        <v>7.85E-2</v>
      </c>
      <c r="C28" s="1">
        <f t="shared" si="0"/>
        <v>396</v>
      </c>
      <c r="D28" s="1">
        <f t="shared" si="1"/>
        <v>157</v>
      </c>
      <c r="E28" s="1">
        <f t="shared" si="2"/>
        <v>157</v>
      </c>
      <c r="F28" s="1">
        <f t="shared" si="3"/>
        <v>1686</v>
      </c>
      <c r="G28" s="1">
        <f t="shared" si="4"/>
        <v>0.1417556346381969</v>
      </c>
    </row>
    <row r="29" spans="1:7" x14ac:dyDescent="0.2">
      <c r="A29">
        <v>0.216</v>
      </c>
      <c r="B29">
        <v>7.9000000000000001E-2</v>
      </c>
      <c r="C29" s="1">
        <f t="shared" si="0"/>
        <v>432</v>
      </c>
      <c r="D29" s="1">
        <f t="shared" si="1"/>
        <v>158</v>
      </c>
      <c r="E29" s="1">
        <f t="shared" si="2"/>
        <v>158</v>
      </c>
      <c r="F29" s="1">
        <f t="shared" si="3"/>
        <v>1684</v>
      </c>
      <c r="G29" s="1">
        <f t="shared" si="4"/>
        <v>0.16270783847980996</v>
      </c>
    </row>
    <row r="30" spans="1:7" x14ac:dyDescent="0.2">
      <c r="A30">
        <v>0.2</v>
      </c>
      <c r="B30">
        <v>7.9000000000000001E-2</v>
      </c>
      <c r="C30" s="1">
        <f t="shared" si="0"/>
        <v>400</v>
      </c>
      <c r="D30" s="1">
        <f t="shared" si="1"/>
        <v>158</v>
      </c>
      <c r="E30" s="1">
        <f t="shared" si="2"/>
        <v>158</v>
      </c>
      <c r="F30" s="1">
        <f t="shared" si="3"/>
        <v>1684</v>
      </c>
      <c r="G30" s="1">
        <f t="shared" si="4"/>
        <v>0.14370546318289787</v>
      </c>
    </row>
    <row r="31" spans="1:7" x14ac:dyDescent="0.2">
      <c r="A31">
        <v>0.20949999999999999</v>
      </c>
      <c r="B31">
        <v>7.9000000000000001E-2</v>
      </c>
      <c r="C31" s="1">
        <f t="shared" si="0"/>
        <v>419</v>
      </c>
      <c r="D31" s="1">
        <f t="shared" si="1"/>
        <v>158</v>
      </c>
      <c r="E31" s="1">
        <f t="shared" si="2"/>
        <v>158</v>
      </c>
      <c r="F31" s="1">
        <f t="shared" si="3"/>
        <v>1684</v>
      </c>
      <c r="G31" s="1">
        <f t="shared" si="4"/>
        <v>0.15498812351543942</v>
      </c>
    </row>
    <row r="32" spans="1:7" x14ac:dyDescent="0.2">
      <c r="A32">
        <v>0.1915</v>
      </c>
      <c r="B32">
        <v>7.9500000000000001E-2</v>
      </c>
      <c r="C32" s="1">
        <f t="shared" si="0"/>
        <v>383</v>
      </c>
      <c r="D32" s="1">
        <f t="shared" si="1"/>
        <v>159</v>
      </c>
      <c r="E32" s="1">
        <f t="shared" si="2"/>
        <v>159</v>
      </c>
      <c r="F32" s="1">
        <f t="shared" si="3"/>
        <v>1682</v>
      </c>
      <c r="G32" s="1">
        <f t="shared" si="4"/>
        <v>0.13317479191438764</v>
      </c>
    </row>
    <row r="33" spans="1:7" x14ac:dyDescent="0.2">
      <c r="A33">
        <v>0.20150000000000001</v>
      </c>
      <c r="B33">
        <v>7.9500000000000001E-2</v>
      </c>
      <c r="C33" s="1">
        <f t="shared" si="0"/>
        <v>403</v>
      </c>
      <c r="D33" s="1">
        <f t="shared" si="1"/>
        <v>159</v>
      </c>
      <c r="E33" s="1">
        <f t="shared" si="2"/>
        <v>159</v>
      </c>
      <c r="F33" s="1">
        <f t="shared" si="3"/>
        <v>1682</v>
      </c>
      <c r="G33" s="1">
        <f t="shared" si="4"/>
        <v>0.14506539833531509</v>
      </c>
    </row>
    <row r="34" spans="1:7" x14ac:dyDescent="0.2">
      <c r="A34">
        <v>0.20100000000000001</v>
      </c>
      <c r="B34">
        <v>7.9500000000000001E-2</v>
      </c>
      <c r="C34" s="1">
        <f t="shared" si="0"/>
        <v>402</v>
      </c>
      <c r="D34" s="1">
        <f t="shared" si="1"/>
        <v>159</v>
      </c>
      <c r="E34" s="1">
        <f t="shared" si="2"/>
        <v>159</v>
      </c>
      <c r="F34" s="1">
        <f t="shared" si="3"/>
        <v>1682</v>
      </c>
      <c r="G34" s="1">
        <f t="shared" si="4"/>
        <v>0.14447086801426873</v>
      </c>
    </row>
    <row r="35" spans="1:7" x14ac:dyDescent="0.2">
      <c r="A35">
        <v>0.191</v>
      </c>
      <c r="B35">
        <v>7.9500000000000001E-2</v>
      </c>
      <c r="C35" s="1">
        <f t="shared" si="0"/>
        <v>382</v>
      </c>
      <c r="D35" s="1">
        <f t="shared" si="1"/>
        <v>159</v>
      </c>
      <c r="E35" s="1">
        <f t="shared" si="2"/>
        <v>159</v>
      </c>
      <c r="F35" s="1">
        <f t="shared" si="3"/>
        <v>1682</v>
      </c>
      <c r="G35" s="1">
        <f t="shared" si="4"/>
        <v>0.13258026159334127</v>
      </c>
    </row>
    <row r="36" spans="1:7" x14ac:dyDescent="0.2">
      <c r="A36">
        <v>0.20100000000000001</v>
      </c>
      <c r="B36">
        <v>0.08</v>
      </c>
      <c r="C36" s="1">
        <f t="shared" si="0"/>
        <v>402</v>
      </c>
      <c r="D36" s="1">
        <f t="shared" si="1"/>
        <v>160</v>
      </c>
      <c r="E36" s="1">
        <f t="shared" si="2"/>
        <v>160</v>
      </c>
      <c r="F36" s="1">
        <f t="shared" si="3"/>
        <v>1680</v>
      </c>
      <c r="G36" s="1">
        <f t="shared" si="4"/>
        <v>0.14404761904761904</v>
      </c>
    </row>
    <row r="37" spans="1:7" x14ac:dyDescent="0.2">
      <c r="A37">
        <v>0.187</v>
      </c>
      <c r="B37">
        <v>0.08</v>
      </c>
      <c r="C37" s="1">
        <f t="shared" si="0"/>
        <v>374</v>
      </c>
      <c r="D37" s="1">
        <f t="shared" si="1"/>
        <v>160</v>
      </c>
      <c r="E37" s="1">
        <f t="shared" si="2"/>
        <v>160</v>
      </c>
      <c r="F37" s="1">
        <f t="shared" si="3"/>
        <v>1680</v>
      </c>
      <c r="G37" s="1">
        <f t="shared" si="4"/>
        <v>0.12738095238095237</v>
      </c>
    </row>
    <row r="38" spans="1:7" x14ac:dyDescent="0.2">
      <c r="A38">
        <v>0.189</v>
      </c>
      <c r="B38">
        <v>0.08</v>
      </c>
      <c r="C38" s="1">
        <f t="shared" si="0"/>
        <v>378</v>
      </c>
      <c r="D38" s="1">
        <f t="shared" si="1"/>
        <v>160</v>
      </c>
      <c r="E38" s="1">
        <f t="shared" si="2"/>
        <v>160</v>
      </c>
      <c r="F38" s="1">
        <f t="shared" si="3"/>
        <v>1680</v>
      </c>
      <c r="G38" s="1">
        <f t="shared" si="4"/>
        <v>0.12976190476190477</v>
      </c>
    </row>
    <row r="39" spans="1:7" x14ac:dyDescent="0.2">
      <c r="A39">
        <v>0.20250000000000001</v>
      </c>
      <c r="B39">
        <v>0.08</v>
      </c>
      <c r="C39" s="1">
        <f t="shared" si="0"/>
        <v>405</v>
      </c>
      <c r="D39" s="1">
        <f t="shared" si="1"/>
        <v>160</v>
      </c>
      <c r="E39" s="1">
        <f t="shared" si="2"/>
        <v>160</v>
      </c>
      <c r="F39" s="1">
        <f t="shared" si="3"/>
        <v>1680</v>
      </c>
      <c r="G39" s="1">
        <f t="shared" si="4"/>
        <v>0.14583333333333334</v>
      </c>
    </row>
    <row r="40" spans="1:7" x14ac:dyDescent="0.2">
      <c r="A40">
        <v>0.21</v>
      </c>
      <c r="B40">
        <v>0.08</v>
      </c>
      <c r="C40" s="1">
        <f t="shared" si="0"/>
        <v>420</v>
      </c>
      <c r="D40" s="1">
        <f t="shared" si="1"/>
        <v>160</v>
      </c>
      <c r="E40" s="1">
        <f t="shared" si="2"/>
        <v>160</v>
      </c>
      <c r="F40" s="1">
        <f t="shared" si="3"/>
        <v>1680</v>
      </c>
      <c r="G40" s="1">
        <f t="shared" si="4"/>
        <v>0.15476190476190477</v>
      </c>
    </row>
    <row r="41" spans="1:7" x14ac:dyDescent="0.2">
      <c r="A41">
        <v>0.20050000000000001</v>
      </c>
      <c r="B41">
        <v>0.08</v>
      </c>
      <c r="C41" s="1">
        <f t="shared" si="0"/>
        <v>401</v>
      </c>
      <c r="D41" s="1">
        <f t="shared" si="1"/>
        <v>160</v>
      </c>
      <c r="E41" s="1">
        <f t="shared" si="2"/>
        <v>160</v>
      </c>
      <c r="F41" s="1">
        <f t="shared" si="3"/>
        <v>1680</v>
      </c>
      <c r="G41" s="1">
        <f t="shared" si="4"/>
        <v>0.14345238095238094</v>
      </c>
    </row>
    <row r="42" spans="1:7" x14ac:dyDescent="0.2">
      <c r="A42">
        <v>0.19550000000000001</v>
      </c>
      <c r="B42">
        <v>8.0500000000000002E-2</v>
      </c>
      <c r="C42" s="1">
        <f t="shared" si="0"/>
        <v>391</v>
      </c>
      <c r="D42" s="1">
        <f t="shared" si="1"/>
        <v>161</v>
      </c>
      <c r="E42" s="1">
        <f t="shared" si="2"/>
        <v>161</v>
      </c>
      <c r="F42" s="1">
        <f t="shared" si="3"/>
        <v>1678</v>
      </c>
      <c r="G42" s="1">
        <f t="shared" si="4"/>
        <v>0.13706793802145412</v>
      </c>
    </row>
    <row r="43" spans="1:7" x14ac:dyDescent="0.2">
      <c r="A43">
        <v>0.20200000000000001</v>
      </c>
      <c r="B43">
        <v>8.0500000000000002E-2</v>
      </c>
      <c r="C43" s="1">
        <f t="shared" si="0"/>
        <v>404</v>
      </c>
      <c r="D43" s="1">
        <f t="shared" si="1"/>
        <v>161</v>
      </c>
      <c r="E43" s="1">
        <f t="shared" si="2"/>
        <v>161</v>
      </c>
      <c r="F43" s="1">
        <f t="shared" si="3"/>
        <v>1678</v>
      </c>
      <c r="G43" s="1">
        <f t="shared" si="4"/>
        <v>0.14481525625744934</v>
      </c>
    </row>
    <row r="44" spans="1:7" x14ac:dyDescent="0.2">
      <c r="A44">
        <v>0.20899999999999999</v>
      </c>
      <c r="B44">
        <v>8.0500000000000002E-2</v>
      </c>
      <c r="C44" s="1">
        <f t="shared" si="0"/>
        <v>418</v>
      </c>
      <c r="D44" s="1">
        <f t="shared" si="1"/>
        <v>161</v>
      </c>
      <c r="E44" s="1">
        <f t="shared" si="2"/>
        <v>161</v>
      </c>
      <c r="F44" s="1">
        <f t="shared" si="3"/>
        <v>1678</v>
      </c>
      <c r="G44" s="1">
        <f t="shared" si="4"/>
        <v>0.15315852205005959</v>
      </c>
    </row>
    <row r="45" spans="1:7" x14ac:dyDescent="0.2">
      <c r="A45">
        <v>0.19800000000000001</v>
      </c>
      <c r="B45">
        <v>8.0500000000000002E-2</v>
      </c>
      <c r="C45" s="1">
        <f t="shared" si="0"/>
        <v>396</v>
      </c>
      <c r="D45" s="1">
        <f t="shared" si="1"/>
        <v>161</v>
      </c>
      <c r="E45" s="1">
        <f t="shared" si="2"/>
        <v>161</v>
      </c>
      <c r="F45" s="1">
        <f t="shared" si="3"/>
        <v>1678</v>
      </c>
      <c r="G45" s="1">
        <f t="shared" si="4"/>
        <v>0.1400476758045292</v>
      </c>
    </row>
    <row r="46" spans="1:7" x14ac:dyDescent="0.2">
      <c r="A46">
        <v>0.19450000000000001</v>
      </c>
      <c r="B46">
        <v>8.0500000000000002E-2</v>
      </c>
      <c r="C46" s="1">
        <f t="shared" si="0"/>
        <v>389</v>
      </c>
      <c r="D46" s="1">
        <f t="shared" si="1"/>
        <v>161</v>
      </c>
      <c r="E46" s="1">
        <f t="shared" si="2"/>
        <v>161</v>
      </c>
      <c r="F46" s="1">
        <f t="shared" si="3"/>
        <v>1678</v>
      </c>
      <c r="G46" s="1">
        <f t="shared" si="4"/>
        <v>0.13587604290822408</v>
      </c>
    </row>
    <row r="47" spans="1:7" x14ac:dyDescent="0.2">
      <c r="A47">
        <v>0.19850000000000001</v>
      </c>
      <c r="B47">
        <v>8.0500000000000002E-2</v>
      </c>
      <c r="C47" s="1">
        <f t="shared" si="0"/>
        <v>397</v>
      </c>
      <c r="D47" s="1">
        <f t="shared" si="1"/>
        <v>161</v>
      </c>
      <c r="E47" s="1">
        <f t="shared" si="2"/>
        <v>161</v>
      </c>
      <c r="F47" s="1">
        <f t="shared" si="3"/>
        <v>1678</v>
      </c>
      <c r="G47" s="1">
        <f t="shared" si="4"/>
        <v>0.14064362336114422</v>
      </c>
    </row>
    <row r="48" spans="1:7" x14ac:dyDescent="0.2">
      <c r="A48">
        <v>0.192</v>
      </c>
      <c r="B48">
        <v>8.0500000000000002E-2</v>
      </c>
      <c r="C48" s="1">
        <f t="shared" si="0"/>
        <v>384</v>
      </c>
      <c r="D48" s="1">
        <f t="shared" si="1"/>
        <v>161</v>
      </c>
      <c r="E48" s="1">
        <f t="shared" si="2"/>
        <v>161</v>
      </c>
      <c r="F48" s="1">
        <f t="shared" si="3"/>
        <v>1678</v>
      </c>
      <c r="G48" s="1">
        <f t="shared" si="4"/>
        <v>0.13289630512514899</v>
      </c>
    </row>
    <row r="49" spans="1:7" x14ac:dyDescent="0.2">
      <c r="A49">
        <v>0.192</v>
      </c>
      <c r="B49">
        <v>8.0500000000000002E-2</v>
      </c>
      <c r="C49" s="1">
        <f t="shared" si="0"/>
        <v>384</v>
      </c>
      <c r="D49" s="1">
        <f t="shared" si="1"/>
        <v>161</v>
      </c>
      <c r="E49" s="1">
        <f t="shared" si="2"/>
        <v>161</v>
      </c>
      <c r="F49" s="1">
        <f t="shared" si="3"/>
        <v>1678</v>
      </c>
      <c r="G49" s="1">
        <f t="shared" si="4"/>
        <v>0.13289630512514899</v>
      </c>
    </row>
    <row r="50" spans="1:7" x14ac:dyDescent="0.2">
      <c r="A50">
        <v>0.20200000000000001</v>
      </c>
      <c r="B50">
        <v>8.1000000000000003E-2</v>
      </c>
      <c r="C50" s="1">
        <f t="shared" si="0"/>
        <v>404</v>
      </c>
      <c r="D50" s="1">
        <f t="shared" si="1"/>
        <v>162</v>
      </c>
      <c r="E50" s="1">
        <f t="shared" si="2"/>
        <v>162</v>
      </c>
      <c r="F50" s="1">
        <f t="shared" si="3"/>
        <v>1676</v>
      </c>
      <c r="G50" s="1">
        <f t="shared" si="4"/>
        <v>0.14439140811455847</v>
      </c>
    </row>
    <row r="51" spans="1:7" x14ac:dyDescent="0.2">
      <c r="A51">
        <v>0.19350000000000001</v>
      </c>
      <c r="B51">
        <v>8.1000000000000003E-2</v>
      </c>
      <c r="C51" s="1">
        <f t="shared" si="0"/>
        <v>387</v>
      </c>
      <c r="D51" s="1">
        <f t="shared" si="1"/>
        <v>162</v>
      </c>
      <c r="E51" s="1">
        <f t="shared" si="2"/>
        <v>162</v>
      </c>
      <c r="F51" s="1">
        <f t="shared" si="3"/>
        <v>1676</v>
      </c>
      <c r="G51" s="1">
        <f t="shared" si="4"/>
        <v>0.13424821002386636</v>
      </c>
    </row>
    <row r="52" spans="1:7" x14ac:dyDescent="0.2">
      <c r="A52">
        <v>0.19350000000000001</v>
      </c>
      <c r="B52">
        <v>8.1000000000000003E-2</v>
      </c>
      <c r="C52" s="1">
        <f t="shared" si="0"/>
        <v>387</v>
      </c>
      <c r="D52" s="1">
        <f t="shared" si="1"/>
        <v>162</v>
      </c>
      <c r="E52" s="1">
        <f t="shared" si="2"/>
        <v>162</v>
      </c>
      <c r="F52" s="1">
        <f t="shared" si="3"/>
        <v>1676</v>
      </c>
      <c r="G52" s="1">
        <f t="shared" si="4"/>
        <v>0.13424821002386636</v>
      </c>
    </row>
    <row r="53" spans="1:7" x14ac:dyDescent="0.2">
      <c r="A53">
        <v>0.20150000000000001</v>
      </c>
      <c r="B53">
        <v>8.1500000000000003E-2</v>
      </c>
      <c r="C53" s="1">
        <f t="shared" si="0"/>
        <v>403</v>
      </c>
      <c r="D53" s="1">
        <f t="shared" si="1"/>
        <v>163</v>
      </c>
      <c r="E53" s="1">
        <f t="shared" si="2"/>
        <v>163</v>
      </c>
      <c r="F53" s="1">
        <f t="shared" si="3"/>
        <v>1674</v>
      </c>
      <c r="G53" s="1">
        <f t="shared" si="4"/>
        <v>0.14336917562724014</v>
      </c>
    </row>
    <row r="54" spans="1:7" x14ac:dyDescent="0.2">
      <c r="A54">
        <v>0.17749999999999999</v>
      </c>
      <c r="B54">
        <v>8.1500000000000003E-2</v>
      </c>
      <c r="C54" s="1">
        <f t="shared" si="0"/>
        <v>355</v>
      </c>
      <c r="D54" s="1">
        <f t="shared" si="1"/>
        <v>163</v>
      </c>
      <c r="E54" s="1">
        <f t="shared" si="2"/>
        <v>163</v>
      </c>
      <c r="F54" s="1">
        <f t="shared" si="3"/>
        <v>1674</v>
      </c>
      <c r="G54" s="1">
        <f t="shared" si="4"/>
        <v>0.11469534050179211</v>
      </c>
    </row>
    <row r="55" spans="1:7" x14ac:dyDescent="0.2">
      <c r="A55">
        <v>0.20549999999999999</v>
      </c>
      <c r="B55">
        <v>8.1500000000000003E-2</v>
      </c>
      <c r="C55" s="1">
        <f t="shared" ref="C55:C92" si="5">A55*$J$7</f>
        <v>411</v>
      </c>
      <c r="D55" s="1">
        <f t="shared" ref="D55:D92" si="6">B55*$J$7</f>
        <v>163</v>
      </c>
      <c r="E55" s="1">
        <f t="shared" si="2"/>
        <v>163</v>
      </c>
      <c r="F55" s="1">
        <f t="shared" si="3"/>
        <v>1674</v>
      </c>
      <c r="G55" s="1">
        <f t="shared" ref="G55:G92" si="7">(C55-E55)/F55</f>
        <v>0.14814814814814814</v>
      </c>
    </row>
    <row r="56" spans="1:7" x14ac:dyDescent="0.2">
      <c r="A56">
        <v>0.20849999999999999</v>
      </c>
      <c r="B56">
        <v>8.1500000000000003E-2</v>
      </c>
      <c r="C56" s="1">
        <f t="shared" si="5"/>
        <v>417</v>
      </c>
      <c r="D56" s="1">
        <f t="shared" si="6"/>
        <v>163</v>
      </c>
      <c r="E56" s="1">
        <f t="shared" si="2"/>
        <v>163</v>
      </c>
      <c r="F56" s="1">
        <f t="shared" si="3"/>
        <v>1674</v>
      </c>
      <c r="G56" s="1">
        <f t="shared" si="7"/>
        <v>0.15173237753882915</v>
      </c>
    </row>
    <row r="57" spans="1:7" x14ac:dyDescent="0.2">
      <c r="A57">
        <v>0.19650000000000001</v>
      </c>
      <c r="B57">
        <v>8.1500000000000003E-2</v>
      </c>
      <c r="C57" s="1">
        <f t="shared" si="5"/>
        <v>393</v>
      </c>
      <c r="D57" s="1">
        <f t="shared" si="6"/>
        <v>163</v>
      </c>
      <c r="E57" s="1">
        <f t="shared" si="2"/>
        <v>163</v>
      </c>
      <c r="F57" s="1">
        <f t="shared" si="3"/>
        <v>1674</v>
      </c>
      <c r="G57" s="1">
        <f t="shared" si="7"/>
        <v>0.13739545997610514</v>
      </c>
    </row>
    <row r="58" spans="1:7" x14ac:dyDescent="0.2">
      <c r="A58">
        <v>0.19350000000000001</v>
      </c>
      <c r="B58">
        <v>8.1500000000000003E-2</v>
      </c>
      <c r="C58" s="1">
        <f t="shared" si="5"/>
        <v>387</v>
      </c>
      <c r="D58" s="1">
        <f t="shared" si="6"/>
        <v>163</v>
      </c>
      <c r="E58" s="1">
        <f t="shared" si="2"/>
        <v>163</v>
      </c>
      <c r="F58" s="1">
        <f t="shared" si="3"/>
        <v>1674</v>
      </c>
      <c r="G58" s="1">
        <f t="shared" si="7"/>
        <v>0.13381123058542413</v>
      </c>
    </row>
    <row r="59" spans="1:7" x14ac:dyDescent="0.2">
      <c r="A59">
        <v>0.184</v>
      </c>
      <c r="B59">
        <v>8.1500000000000003E-2</v>
      </c>
      <c r="C59" s="1">
        <f t="shared" si="5"/>
        <v>368</v>
      </c>
      <c r="D59" s="1">
        <f t="shared" si="6"/>
        <v>163</v>
      </c>
      <c r="E59" s="1">
        <f t="shared" si="2"/>
        <v>163</v>
      </c>
      <c r="F59" s="1">
        <f t="shared" si="3"/>
        <v>1674</v>
      </c>
      <c r="G59" s="1">
        <f t="shared" si="7"/>
        <v>0.12246117084826762</v>
      </c>
    </row>
    <row r="60" spans="1:7" x14ac:dyDescent="0.2">
      <c r="A60">
        <v>0.19</v>
      </c>
      <c r="B60">
        <v>8.2000000000000003E-2</v>
      </c>
      <c r="C60" s="1">
        <f t="shared" si="5"/>
        <v>380</v>
      </c>
      <c r="D60" s="1">
        <f t="shared" si="6"/>
        <v>164</v>
      </c>
      <c r="E60" s="1">
        <f t="shared" si="2"/>
        <v>164</v>
      </c>
      <c r="F60" s="1">
        <f t="shared" si="3"/>
        <v>1672</v>
      </c>
      <c r="G60" s="1">
        <f t="shared" si="7"/>
        <v>0.12918660287081341</v>
      </c>
    </row>
    <row r="61" spans="1:7" x14ac:dyDescent="0.2">
      <c r="A61">
        <v>0.19650000000000001</v>
      </c>
      <c r="B61">
        <v>8.2000000000000003E-2</v>
      </c>
      <c r="C61" s="1">
        <f t="shared" si="5"/>
        <v>393</v>
      </c>
      <c r="D61" s="1">
        <f t="shared" si="6"/>
        <v>164</v>
      </c>
      <c r="E61" s="1">
        <f t="shared" si="2"/>
        <v>164</v>
      </c>
      <c r="F61" s="1">
        <f t="shared" si="3"/>
        <v>1672</v>
      </c>
      <c r="G61" s="1">
        <f t="shared" si="7"/>
        <v>0.13696172248803828</v>
      </c>
    </row>
    <row r="62" spans="1:7" x14ac:dyDescent="0.2">
      <c r="A62">
        <v>0.20699999999999999</v>
      </c>
      <c r="B62">
        <v>8.2000000000000003E-2</v>
      </c>
      <c r="C62" s="1">
        <f t="shared" si="5"/>
        <v>414</v>
      </c>
      <c r="D62" s="1">
        <f t="shared" si="6"/>
        <v>164</v>
      </c>
      <c r="E62" s="1">
        <f t="shared" si="2"/>
        <v>164</v>
      </c>
      <c r="F62" s="1">
        <f t="shared" si="3"/>
        <v>1672</v>
      </c>
      <c r="G62" s="1">
        <f t="shared" si="7"/>
        <v>0.14952153110047847</v>
      </c>
    </row>
    <row r="63" spans="1:7" x14ac:dyDescent="0.2">
      <c r="A63">
        <v>0.20150000000000001</v>
      </c>
      <c r="B63">
        <v>8.2500000000000004E-2</v>
      </c>
      <c r="C63" s="1">
        <f t="shared" si="5"/>
        <v>403</v>
      </c>
      <c r="D63" s="1">
        <f t="shared" si="6"/>
        <v>165</v>
      </c>
      <c r="E63" s="1">
        <f t="shared" si="2"/>
        <v>165</v>
      </c>
      <c r="F63" s="1">
        <f t="shared" si="3"/>
        <v>1670</v>
      </c>
      <c r="G63" s="1">
        <f t="shared" si="7"/>
        <v>0.14251497005988023</v>
      </c>
    </row>
    <row r="64" spans="1:7" x14ac:dyDescent="0.2">
      <c r="A64">
        <v>0.20100000000000001</v>
      </c>
      <c r="B64">
        <v>8.2500000000000004E-2</v>
      </c>
      <c r="C64" s="1">
        <f t="shared" si="5"/>
        <v>402</v>
      </c>
      <c r="D64" s="1">
        <f t="shared" si="6"/>
        <v>165</v>
      </c>
      <c r="E64" s="1">
        <f t="shared" si="2"/>
        <v>165</v>
      </c>
      <c r="F64" s="1">
        <f t="shared" si="3"/>
        <v>1670</v>
      </c>
      <c r="G64" s="1">
        <f t="shared" si="7"/>
        <v>0.14191616766467066</v>
      </c>
    </row>
    <row r="65" spans="1:7" x14ac:dyDescent="0.2">
      <c r="A65">
        <v>0.193</v>
      </c>
      <c r="B65">
        <v>8.2500000000000004E-2</v>
      </c>
      <c r="C65" s="1">
        <f t="shared" si="5"/>
        <v>386</v>
      </c>
      <c r="D65" s="1">
        <f t="shared" si="6"/>
        <v>165</v>
      </c>
      <c r="E65" s="1">
        <f t="shared" si="2"/>
        <v>165</v>
      </c>
      <c r="F65" s="1">
        <f t="shared" si="3"/>
        <v>1670</v>
      </c>
      <c r="G65" s="1">
        <f t="shared" si="7"/>
        <v>0.13233532934131736</v>
      </c>
    </row>
    <row r="66" spans="1:7" x14ac:dyDescent="0.2">
      <c r="A66">
        <v>0.20050000000000001</v>
      </c>
      <c r="B66">
        <v>8.3000000000000004E-2</v>
      </c>
      <c r="C66" s="1">
        <f t="shared" si="5"/>
        <v>401</v>
      </c>
      <c r="D66" s="1">
        <f t="shared" si="6"/>
        <v>166</v>
      </c>
      <c r="E66" s="1">
        <f t="shared" si="2"/>
        <v>166</v>
      </c>
      <c r="F66" s="1">
        <f t="shared" si="3"/>
        <v>1668</v>
      </c>
      <c r="G66" s="1">
        <f t="shared" si="7"/>
        <v>0.14088729016786572</v>
      </c>
    </row>
    <row r="67" spans="1:7" x14ac:dyDescent="0.2">
      <c r="A67">
        <v>0.20100000000000001</v>
      </c>
      <c r="B67">
        <v>8.3000000000000004E-2</v>
      </c>
      <c r="C67" s="1">
        <f t="shared" si="5"/>
        <v>402</v>
      </c>
      <c r="D67" s="1">
        <f t="shared" si="6"/>
        <v>166</v>
      </c>
      <c r="E67" s="1">
        <f t="shared" ref="E67:E130" si="8">MIN(D67,$J$7-D67)</f>
        <v>166</v>
      </c>
      <c r="F67" s="1">
        <f t="shared" ref="F67:F130" si="9">$J$7-2*E67</f>
        <v>1668</v>
      </c>
      <c r="G67" s="1">
        <f t="shared" si="7"/>
        <v>0.14148681055155876</v>
      </c>
    </row>
    <row r="68" spans="1:7" x14ac:dyDescent="0.2">
      <c r="A68">
        <v>0.20399999999999999</v>
      </c>
      <c r="B68">
        <v>8.3000000000000004E-2</v>
      </c>
      <c r="C68" s="1">
        <f t="shared" si="5"/>
        <v>408</v>
      </c>
      <c r="D68" s="1">
        <f t="shared" si="6"/>
        <v>166</v>
      </c>
      <c r="E68" s="1">
        <f t="shared" si="8"/>
        <v>166</v>
      </c>
      <c r="F68" s="1">
        <f t="shared" si="9"/>
        <v>1668</v>
      </c>
      <c r="G68" s="1">
        <f t="shared" si="7"/>
        <v>0.14508393285371701</v>
      </c>
    </row>
    <row r="69" spans="1:7" x14ac:dyDescent="0.2">
      <c r="A69">
        <v>0.20150000000000001</v>
      </c>
      <c r="B69">
        <v>8.3500000000000005E-2</v>
      </c>
      <c r="C69" s="1">
        <f t="shared" si="5"/>
        <v>403</v>
      </c>
      <c r="D69" s="1">
        <f t="shared" si="6"/>
        <v>167</v>
      </c>
      <c r="E69" s="1">
        <f t="shared" si="8"/>
        <v>167</v>
      </c>
      <c r="F69" s="1">
        <f t="shared" si="9"/>
        <v>1666</v>
      </c>
      <c r="G69" s="1">
        <f t="shared" si="7"/>
        <v>0.14165666266506602</v>
      </c>
    </row>
    <row r="70" spans="1:7" x14ac:dyDescent="0.2">
      <c r="A70">
        <v>0.20200000000000001</v>
      </c>
      <c r="B70">
        <v>8.3500000000000005E-2</v>
      </c>
      <c r="C70" s="1">
        <f t="shared" si="5"/>
        <v>404</v>
      </c>
      <c r="D70" s="1">
        <f t="shared" si="6"/>
        <v>167</v>
      </c>
      <c r="E70" s="1">
        <f t="shared" si="8"/>
        <v>167</v>
      </c>
      <c r="F70" s="1">
        <f t="shared" si="9"/>
        <v>1666</v>
      </c>
      <c r="G70" s="1">
        <f t="shared" si="7"/>
        <v>0.14225690276110445</v>
      </c>
    </row>
    <row r="71" spans="1:7" x14ac:dyDescent="0.2">
      <c r="A71">
        <v>0.1875</v>
      </c>
      <c r="B71">
        <v>8.4000000000000005E-2</v>
      </c>
      <c r="C71" s="1">
        <f t="shared" si="5"/>
        <v>375</v>
      </c>
      <c r="D71" s="1">
        <f t="shared" si="6"/>
        <v>168</v>
      </c>
      <c r="E71" s="1">
        <f t="shared" si="8"/>
        <v>168</v>
      </c>
      <c r="F71" s="1">
        <f t="shared" si="9"/>
        <v>1664</v>
      </c>
      <c r="G71" s="1">
        <f t="shared" si="7"/>
        <v>0.12439903846153846</v>
      </c>
    </row>
    <row r="72" spans="1:7" x14ac:dyDescent="0.2">
      <c r="A72">
        <v>0.21149999999999999</v>
      </c>
      <c r="B72">
        <v>8.4000000000000005E-2</v>
      </c>
      <c r="C72" s="1">
        <f t="shared" si="5"/>
        <v>423</v>
      </c>
      <c r="D72" s="1">
        <f t="shared" si="6"/>
        <v>168</v>
      </c>
      <c r="E72" s="1">
        <f t="shared" si="8"/>
        <v>168</v>
      </c>
      <c r="F72" s="1">
        <f t="shared" si="9"/>
        <v>1664</v>
      </c>
      <c r="G72" s="1">
        <f t="shared" si="7"/>
        <v>0.15324519230769232</v>
      </c>
    </row>
    <row r="73" spans="1:7" x14ac:dyDescent="0.2">
      <c r="A73">
        <v>0.20599999999999999</v>
      </c>
      <c r="B73">
        <v>8.4000000000000005E-2</v>
      </c>
      <c r="C73" s="1">
        <f t="shared" si="5"/>
        <v>412</v>
      </c>
      <c r="D73" s="1">
        <f t="shared" si="6"/>
        <v>168</v>
      </c>
      <c r="E73" s="1">
        <f t="shared" si="8"/>
        <v>168</v>
      </c>
      <c r="F73" s="1">
        <f t="shared" si="9"/>
        <v>1664</v>
      </c>
      <c r="G73" s="1">
        <f t="shared" si="7"/>
        <v>0.14663461538461539</v>
      </c>
    </row>
    <row r="74" spans="1:7" x14ac:dyDescent="0.2">
      <c r="A74">
        <v>0.20949999999999999</v>
      </c>
      <c r="B74">
        <v>8.4000000000000005E-2</v>
      </c>
      <c r="C74" s="1">
        <f t="shared" si="5"/>
        <v>419</v>
      </c>
      <c r="D74" s="1">
        <f t="shared" si="6"/>
        <v>168</v>
      </c>
      <c r="E74" s="1">
        <f t="shared" si="8"/>
        <v>168</v>
      </c>
      <c r="F74" s="1">
        <f t="shared" si="9"/>
        <v>1664</v>
      </c>
      <c r="G74" s="1">
        <f t="shared" si="7"/>
        <v>0.15084134615384615</v>
      </c>
    </row>
    <row r="75" spans="1:7" x14ac:dyDescent="0.2">
      <c r="A75">
        <v>0.189</v>
      </c>
      <c r="B75">
        <v>8.4500000000000006E-2</v>
      </c>
      <c r="C75" s="1">
        <f t="shared" si="5"/>
        <v>378</v>
      </c>
      <c r="D75" s="1">
        <f t="shared" si="6"/>
        <v>169</v>
      </c>
      <c r="E75" s="1">
        <f t="shared" si="8"/>
        <v>169</v>
      </c>
      <c r="F75" s="1">
        <f t="shared" si="9"/>
        <v>1662</v>
      </c>
      <c r="G75" s="1">
        <f t="shared" si="7"/>
        <v>0.12575210589651023</v>
      </c>
    </row>
    <row r="76" spans="1:7" x14ac:dyDescent="0.2">
      <c r="A76">
        <v>0.20150000000000001</v>
      </c>
      <c r="B76">
        <v>8.4500000000000006E-2</v>
      </c>
      <c r="C76" s="1">
        <f t="shared" si="5"/>
        <v>403</v>
      </c>
      <c r="D76" s="1">
        <f t="shared" si="6"/>
        <v>169</v>
      </c>
      <c r="E76" s="1">
        <f t="shared" si="8"/>
        <v>169</v>
      </c>
      <c r="F76" s="1">
        <f t="shared" si="9"/>
        <v>1662</v>
      </c>
      <c r="G76" s="1">
        <f t="shared" si="7"/>
        <v>0.1407942238267148</v>
      </c>
    </row>
    <row r="77" spans="1:7" x14ac:dyDescent="0.2">
      <c r="A77">
        <v>0.20949999999999999</v>
      </c>
      <c r="B77">
        <v>8.4500000000000006E-2</v>
      </c>
      <c r="C77" s="1">
        <f t="shared" si="5"/>
        <v>419</v>
      </c>
      <c r="D77" s="1">
        <f t="shared" si="6"/>
        <v>169</v>
      </c>
      <c r="E77" s="1">
        <f t="shared" si="8"/>
        <v>169</v>
      </c>
      <c r="F77" s="1">
        <f t="shared" si="9"/>
        <v>1662</v>
      </c>
      <c r="G77" s="1">
        <f t="shared" si="7"/>
        <v>0.15042117930204574</v>
      </c>
    </row>
    <row r="78" spans="1:7" x14ac:dyDescent="0.2">
      <c r="A78">
        <v>0.2</v>
      </c>
      <c r="B78">
        <v>8.4500000000000006E-2</v>
      </c>
      <c r="C78" s="1">
        <f t="shared" si="5"/>
        <v>400</v>
      </c>
      <c r="D78" s="1">
        <f t="shared" si="6"/>
        <v>169</v>
      </c>
      <c r="E78" s="1">
        <f t="shared" si="8"/>
        <v>169</v>
      </c>
      <c r="F78" s="1">
        <f t="shared" si="9"/>
        <v>1662</v>
      </c>
      <c r="G78" s="1">
        <f t="shared" si="7"/>
        <v>0.13898916967509026</v>
      </c>
    </row>
    <row r="79" spans="1:7" x14ac:dyDescent="0.2">
      <c r="A79">
        <v>0.19600000000000001</v>
      </c>
      <c r="B79">
        <v>8.5500000000000007E-2</v>
      </c>
      <c r="C79" s="1">
        <f t="shared" si="5"/>
        <v>392</v>
      </c>
      <c r="D79" s="1">
        <f t="shared" si="6"/>
        <v>171</v>
      </c>
      <c r="E79" s="1">
        <f t="shared" si="8"/>
        <v>171</v>
      </c>
      <c r="F79" s="1">
        <f t="shared" si="9"/>
        <v>1658</v>
      </c>
      <c r="G79" s="1">
        <f t="shared" si="7"/>
        <v>0.13329312424607961</v>
      </c>
    </row>
    <row r="80" spans="1:7" x14ac:dyDescent="0.2">
      <c r="A80">
        <v>0.19500000000000001</v>
      </c>
      <c r="B80">
        <v>8.5500000000000007E-2</v>
      </c>
      <c r="C80" s="1">
        <f t="shared" si="5"/>
        <v>390</v>
      </c>
      <c r="D80" s="1">
        <f t="shared" si="6"/>
        <v>171</v>
      </c>
      <c r="E80" s="1">
        <f t="shared" si="8"/>
        <v>171</v>
      </c>
      <c r="F80" s="1">
        <f t="shared" si="9"/>
        <v>1658</v>
      </c>
      <c r="G80" s="1">
        <f t="shared" si="7"/>
        <v>0.13208685162846803</v>
      </c>
    </row>
    <row r="81" spans="1:7" x14ac:dyDescent="0.2">
      <c r="A81">
        <v>0.20300000000000001</v>
      </c>
      <c r="B81">
        <v>8.5999999999999993E-2</v>
      </c>
      <c r="C81" s="1">
        <f t="shared" si="5"/>
        <v>406</v>
      </c>
      <c r="D81" s="1">
        <f t="shared" si="6"/>
        <v>172</v>
      </c>
      <c r="E81" s="1">
        <f t="shared" si="8"/>
        <v>172</v>
      </c>
      <c r="F81" s="1">
        <f t="shared" si="9"/>
        <v>1656</v>
      </c>
      <c r="G81" s="1">
        <f t="shared" si="7"/>
        <v>0.14130434782608695</v>
      </c>
    </row>
    <row r="82" spans="1:7" x14ac:dyDescent="0.2">
      <c r="A82">
        <v>0.19450000000000001</v>
      </c>
      <c r="B82">
        <v>8.5999999999999993E-2</v>
      </c>
      <c r="C82" s="1">
        <f t="shared" si="5"/>
        <v>389</v>
      </c>
      <c r="D82" s="1">
        <f t="shared" si="6"/>
        <v>172</v>
      </c>
      <c r="E82" s="1">
        <f t="shared" si="8"/>
        <v>172</v>
      </c>
      <c r="F82" s="1">
        <f t="shared" si="9"/>
        <v>1656</v>
      </c>
      <c r="G82" s="1">
        <f t="shared" si="7"/>
        <v>0.13103864734299517</v>
      </c>
    </row>
    <row r="83" spans="1:7" x14ac:dyDescent="0.2">
      <c r="A83">
        <v>0.2135</v>
      </c>
      <c r="B83">
        <v>8.5999999999999993E-2</v>
      </c>
      <c r="C83" s="1">
        <f t="shared" si="5"/>
        <v>427</v>
      </c>
      <c r="D83" s="1">
        <f t="shared" si="6"/>
        <v>172</v>
      </c>
      <c r="E83" s="1">
        <f t="shared" si="8"/>
        <v>172</v>
      </c>
      <c r="F83" s="1">
        <f t="shared" si="9"/>
        <v>1656</v>
      </c>
      <c r="G83" s="1">
        <f t="shared" si="7"/>
        <v>0.1539855072463768</v>
      </c>
    </row>
    <row r="84" spans="1:7" x14ac:dyDescent="0.2">
      <c r="A84">
        <v>0.1885</v>
      </c>
      <c r="B84">
        <v>8.5999999999999993E-2</v>
      </c>
      <c r="C84" s="1">
        <f t="shared" si="5"/>
        <v>377</v>
      </c>
      <c r="D84" s="1">
        <f t="shared" si="6"/>
        <v>172</v>
      </c>
      <c r="E84" s="1">
        <f t="shared" si="8"/>
        <v>172</v>
      </c>
      <c r="F84" s="1">
        <f t="shared" si="9"/>
        <v>1656</v>
      </c>
      <c r="G84" s="1">
        <f t="shared" si="7"/>
        <v>0.12379227053140096</v>
      </c>
    </row>
    <row r="85" spans="1:7" x14ac:dyDescent="0.2">
      <c r="A85">
        <v>0.1885</v>
      </c>
      <c r="B85">
        <v>8.5999999999999993E-2</v>
      </c>
      <c r="C85" s="1">
        <f t="shared" si="5"/>
        <v>377</v>
      </c>
      <c r="D85" s="1">
        <f t="shared" si="6"/>
        <v>172</v>
      </c>
      <c r="E85" s="1">
        <f t="shared" si="8"/>
        <v>172</v>
      </c>
      <c r="F85" s="1">
        <f t="shared" si="9"/>
        <v>1656</v>
      </c>
      <c r="G85" s="1">
        <f t="shared" si="7"/>
        <v>0.12379227053140096</v>
      </c>
    </row>
    <row r="86" spans="1:7" x14ac:dyDescent="0.2">
      <c r="A86">
        <v>0.1865</v>
      </c>
      <c r="B86">
        <v>8.5999999999999993E-2</v>
      </c>
      <c r="C86" s="1">
        <f t="shared" si="5"/>
        <v>373</v>
      </c>
      <c r="D86" s="1">
        <f t="shared" si="6"/>
        <v>172</v>
      </c>
      <c r="E86" s="1">
        <f t="shared" si="8"/>
        <v>172</v>
      </c>
      <c r="F86" s="1">
        <f t="shared" si="9"/>
        <v>1656</v>
      </c>
      <c r="G86" s="1">
        <f t="shared" si="7"/>
        <v>0.1213768115942029</v>
      </c>
    </row>
    <row r="87" spans="1:7" x14ac:dyDescent="0.2">
      <c r="A87">
        <v>0.2</v>
      </c>
      <c r="B87">
        <v>8.6499999999999994E-2</v>
      </c>
      <c r="C87" s="1">
        <f t="shared" si="5"/>
        <v>400</v>
      </c>
      <c r="D87" s="1">
        <f t="shared" si="6"/>
        <v>173</v>
      </c>
      <c r="E87" s="1">
        <f t="shared" si="8"/>
        <v>173</v>
      </c>
      <c r="F87" s="1">
        <f t="shared" si="9"/>
        <v>1654</v>
      </c>
      <c r="G87" s="1">
        <f t="shared" si="7"/>
        <v>0.13724304715840388</v>
      </c>
    </row>
    <row r="88" spans="1:7" x14ac:dyDescent="0.2">
      <c r="A88">
        <v>0.19950000000000001</v>
      </c>
      <c r="B88">
        <v>8.6499999999999994E-2</v>
      </c>
      <c r="C88" s="1">
        <f t="shared" si="5"/>
        <v>399</v>
      </c>
      <c r="D88" s="1">
        <f t="shared" si="6"/>
        <v>173</v>
      </c>
      <c r="E88" s="1">
        <f t="shared" si="8"/>
        <v>173</v>
      </c>
      <c r="F88" s="1">
        <f t="shared" si="9"/>
        <v>1654</v>
      </c>
      <c r="G88" s="1">
        <f t="shared" si="7"/>
        <v>0.13663845223700122</v>
      </c>
    </row>
    <row r="89" spans="1:7" x14ac:dyDescent="0.2">
      <c r="A89">
        <v>0.19500000000000001</v>
      </c>
      <c r="B89">
        <v>8.6499999999999994E-2</v>
      </c>
      <c r="C89" s="1">
        <f t="shared" si="5"/>
        <v>390</v>
      </c>
      <c r="D89" s="1">
        <f t="shared" si="6"/>
        <v>173</v>
      </c>
      <c r="E89" s="1">
        <f t="shared" si="8"/>
        <v>173</v>
      </c>
      <c r="F89" s="1">
        <f t="shared" si="9"/>
        <v>1654</v>
      </c>
      <c r="G89" s="1">
        <f t="shared" si="7"/>
        <v>0.13119709794437726</v>
      </c>
    </row>
    <row r="90" spans="1:7" x14ac:dyDescent="0.2">
      <c r="A90">
        <v>0.20799999999999999</v>
      </c>
      <c r="B90">
        <v>8.6499999999999994E-2</v>
      </c>
      <c r="C90" s="1">
        <f t="shared" si="5"/>
        <v>416</v>
      </c>
      <c r="D90" s="1">
        <f t="shared" si="6"/>
        <v>173</v>
      </c>
      <c r="E90" s="1">
        <f t="shared" si="8"/>
        <v>173</v>
      </c>
      <c r="F90" s="1">
        <f t="shared" si="9"/>
        <v>1654</v>
      </c>
      <c r="G90" s="1">
        <f t="shared" si="7"/>
        <v>0.14691656590084642</v>
      </c>
    </row>
    <row r="91" spans="1:7" x14ac:dyDescent="0.2">
      <c r="A91">
        <v>0.20549999999999999</v>
      </c>
      <c r="B91">
        <v>8.6499999999999994E-2</v>
      </c>
      <c r="C91" s="1">
        <f t="shared" si="5"/>
        <v>411</v>
      </c>
      <c r="D91" s="1">
        <f t="shared" si="6"/>
        <v>173</v>
      </c>
      <c r="E91" s="1">
        <f t="shared" si="8"/>
        <v>173</v>
      </c>
      <c r="F91" s="1">
        <f t="shared" si="9"/>
        <v>1654</v>
      </c>
      <c r="G91" s="1">
        <f t="shared" si="7"/>
        <v>0.14389359129383314</v>
      </c>
    </row>
    <row r="92" spans="1:7" x14ac:dyDescent="0.2">
      <c r="A92">
        <v>0.20250000000000001</v>
      </c>
      <c r="B92">
        <v>8.6499999999999994E-2</v>
      </c>
      <c r="C92" s="1">
        <f t="shared" si="5"/>
        <v>405</v>
      </c>
      <c r="D92" s="1">
        <f t="shared" si="6"/>
        <v>173</v>
      </c>
      <c r="E92" s="1">
        <f t="shared" si="8"/>
        <v>173</v>
      </c>
      <c r="F92" s="1">
        <f t="shared" si="9"/>
        <v>1654</v>
      </c>
      <c r="G92" s="1">
        <f t="shared" si="7"/>
        <v>0.14026602176541716</v>
      </c>
    </row>
    <row r="93" spans="1:7" x14ac:dyDescent="0.2">
      <c r="A93">
        <v>0.19950000000000001</v>
      </c>
      <c r="B93">
        <v>8.6499999999999994E-2</v>
      </c>
      <c r="C93" s="1">
        <f t="shared" ref="C93:C156" si="10">A93*$J$7</f>
        <v>399</v>
      </c>
      <c r="D93" s="1">
        <f t="shared" ref="D93:D156" si="11">B93*$J$7</f>
        <v>173</v>
      </c>
      <c r="E93" s="1">
        <f t="shared" si="8"/>
        <v>173</v>
      </c>
      <c r="F93" s="1">
        <f t="shared" si="9"/>
        <v>1654</v>
      </c>
      <c r="G93" s="1">
        <f t="shared" ref="G93:G156" si="12">(C93-E93)/F93</f>
        <v>0.13663845223700122</v>
      </c>
    </row>
    <row r="94" spans="1:7" x14ac:dyDescent="0.2">
      <c r="A94">
        <v>0.20150000000000001</v>
      </c>
      <c r="B94">
        <v>8.6999999999999994E-2</v>
      </c>
      <c r="C94" s="1">
        <f t="shared" si="10"/>
        <v>403</v>
      </c>
      <c r="D94" s="1">
        <f t="shared" si="11"/>
        <v>174</v>
      </c>
      <c r="E94" s="1">
        <f t="shared" si="8"/>
        <v>174</v>
      </c>
      <c r="F94" s="1">
        <f t="shared" si="9"/>
        <v>1652</v>
      </c>
      <c r="G94" s="1">
        <f t="shared" si="12"/>
        <v>0.13861985472154964</v>
      </c>
    </row>
    <row r="95" spans="1:7" x14ac:dyDescent="0.2">
      <c r="A95">
        <v>0.1915</v>
      </c>
      <c r="B95">
        <v>8.7499999999999994E-2</v>
      </c>
      <c r="C95" s="1">
        <f t="shared" si="10"/>
        <v>383</v>
      </c>
      <c r="D95" s="1">
        <f t="shared" si="11"/>
        <v>175</v>
      </c>
      <c r="E95" s="1">
        <f t="shared" si="8"/>
        <v>175</v>
      </c>
      <c r="F95" s="1">
        <f t="shared" si="9"/>
        <v>1650</v>
      </c>
      <c r="G95" s="1">
        <f t="shared" si="12"/>
        <v>0.12606060606060607</v>
      </c>
    </row>
    <row r="96" spans="1:7" x14ac:dyDescent="0.2">
      <c r="A96">
        <v>0.2</v>
      </c>
      <c r="B96">
        <v>8.7499999999999994E-2</v>
      </c>
      <c r="C96" s="1">
        <f t="shared" si="10"/>
        <v>400</v>
      </c>
      <c r="D96" s="1">
        <f t="shared" si="11"/>
        <v>175</v>
      </c>
      <c r="E96" s="1">
        <f t="shared" si="8"/>
        <v>175</v>
      </c>
      <c r="F96" s="1">
        <f t="shared" si="9"/>
        <v>1650</v>
      </c>
      <c r="G96" s="1">
        <f t="shared" si="12"/>
        <v>0.13636363636363635</v>
      </c>
    </row>
    <row r="97" spans="1:7" x14ac:dyDescent="0.2">
      <c r="A97">
        <v>0.20949999999999999</v>
      </c>
      <c r="B97">
        <v>8.7499999999999994E-2</v>
      </c>
      <c r="C97" s="1">
        <f t="shared" si="10"/>
        <v>419</v>
      </c>
      <c r="D97" s="1">
        <f t="shared" si="11"/>
        <v>175</v>
      </c>
      <c r="E97" s="1">
        <f t="shared" si="8"/>
        <v>175</v>
      </c>
      <c r="F97" s="1">
        <f t="shared" si="9"/>
        <v>1650</v>
      </c>
      <c r="G97" s="1">
        <f t="shared" si="12"/>
        <v>0.14787878787878789</v>
      </c>
    </row>
    <row r="98" spans="1:7" x14ac:dyDescent="0.2">
      <c r="A98">
        <v>0.19550000000000001</v>
      </c>
      <c r="B98">
        <v>8.7499999999999994E-2</v>
      </c>
      <c r="C98" s="1">
        <f t="shared" si="10"/>
        <v>391</v>
      </c>
      <c r="D98" s="1">
        <f t="shared" si="11"/>
        <v>175</v>
      </c>
      <c r="E98" s="1">
        <f t="shared" si="8"/>
        <v>175</v>
      </c>
      <c r="F98" s="1">
        <f t="shared" si="9"/>
        <v>1650</v>
      </c>
      <c r="G98" s="1">
        <f t="shared" si="12"/>
        <v>0.13090909090909092</v>
      </c>
    </row>
    <row r="99" spans="1:7" x14ac:dyDescent="0.2">
      <c r="A99">
        <v>0.20150000000000001</v>
      </c>
      <c r="B99">
        <v>8.7499999999999994E-2</v>
      </c>
      <c r="C99" s="1">
        <f t="shared" si="10"/>
        <v>403</v>
      </c>
      <c r="D99" s="1">
        <f t="shared" si="11"/>
        <v>175</v>
      </c>
      <c r="E99" s="1">
        <f t="shared" si="8"/>
        <v>175</v>
      </c>
      <c r="F99" s="1">
        <f t="shared" si="9"/>
        <v>1650</v>
      </c>
      <c r="G99" s="1">
        <f t="shared" si="12"/>
        <v>0.13818181818181818</v>
      </c>
    </row>
    <row r="100" spans="1:7" x14ac:dyDescent="0.2">
      <c r="A100">
        <v>0.185</v>
      </c>
      <c r="B100">
        <v>8.7999999999999995E-2</v>
      </c>
      <c r="C100" s="1">
        <f t="shared" si="10"/>
        <v>370</v>
      </c>
      <c r="D100" s="1">
        <f t="shared" si="11"/>
        <v>176</v>
      </c>
      <c r="E100" s="1">
        <f t="shared" si="8"/>
        <v>176</v>
      </c>
      <c r="F100" s="1">
        <f t="shared" si="9"/>
        <v>1648</v>
      </c>
      <c r="G100" s="1">
        <f t="shared" si="12"/>
        <v>0.11771844660194175</v>
      </c>
    </row>
    <row r="101" spans="1:7" x14ac:dyDescent="0.2">
      <c r="A101">
        <v>0.21099999999999999</v>
      </c>
      <c r="B101">
        <v>8.8499999999999995E-2</v>
      </c>
      <c r="C101" s="1">
        <f t="shared" si="10"/>
        <v>422</v>
      </c>
      <c r="D101" s="1">
        <f t="shared" si="11"/>
        <v>177</v>
      </c>
      <c r="E101" s="1">
        <f t="shared" si="8"/>
        <v>177</v>
      </c>
      <c r="F101" s="1">
        <f t="shared" si="9"/>
        <v>1646</v>
      </c>
      <c r="G101" s="1">
        <f t="shared" si="12"/>
        <v>0.1488456865127582</v>
      </c>
    </row>
    <row r="102" spans="1:7" x14ac:dyDescent="0.2">
      <c r="A102">
        <v>0.20349999999999999</v>
      </c>
      <c r="B102">
        <v>8.8499999999999995E-2</v>
      </c>
      <c r="C102" s="1">
        <f t="shared" si="10"/>
        <v>407</v>
      </c>
      <c r="D102" s="1">
        <f t="shared" si="11"/>
        <v>177</v>
      </c>
      <c r="E102" s="1">
        <f t="shared" si="8"/>
        <v>177</v>
      </c>
      <c r="F102" s="1">
        <f t="shared" si="9"/>
        <v>1646</v>
      </c>
      <c r="G102" s="1">
        <f t="shared" si="12"/>
        <v>0.13973268529769137</v>
      </c>
    </row>
    <row r="103" spans="1:7" x14ac:dyDescent="0.2">
      <c r="A103">
        <v>0.192</v>
      </c>
      <c r="B103">
        <v>8.8499999999999995E-2</v>
      </c>
      <c r="C103" s="1">
        <f t="shared" si="10"/>
        <v>384</v>
      </c>
      <c r="D103" s="1">
        <f t="shared" si="11"/>
        <v>177</v>
      </c>
      <c r="E103" s="1">
        <f t="shared" si="8"/>
        <v>177</v>
      </c>
      <c r="F103" s="1">
        <f t="shared" si="9"/>
        <v>1646</v>
      </c>
      <c r="G103" s="1">
        <f t="shared" si="12"/>
        <v>0.12575941676792224</v>
      </c>
    </row>
    <row r="104" spans="1:7" x14ac:dyDescent="0.2">
      <c r="A104">
        <v>0.193</v>
      </c>
      <c r="B104">
        <v>8.8999999999999996E-2</v>
      </c>
      <c r="C104" s="1">
        <f t="shared" si="10"/>
        <v>386</v>
      </c>
      <c r="D104" s="1">
        <f t="shared" si="11"/>
        <v>178</v>
      </c>
      <c r="E104" s="1">
        <f t="shared" si="8"/>
        <v>178</v>
      </c>
      <c r="F104" s="1">
        <f t="shared" si="9"/>
        <v>1644</v>
      </c>
      <c r="G104" s="1">
        <f t="shared" si="12"/>
        <v>0.12652068126520682</v>
      </c>
    </row>
    <row r="105" spans="1:7" x14ac:dyDescent="0.2">
      <c r="A105">
        <v>0.2</v>
      </c>
      <c r="B105">
        <v>8.8999999999999996E-2</v>
      </c>
      <c r="C105" s="1">
        <f t="shared" si="10"/>
        <v>400</v>
      </c>
      <c r="D105" s="1">
        <f t="shared" si="11"/>
        <v>178</v>
      </c>
      <c r="E105" s="1">
        <f t="shared" si="8"/>
        <v>178</v>
      </c>
      <c r="F105" s="1">
        <f t="shared" si="9"/>
        <v>1644</v>
      </c>
      <c r="G105" s="1">
        <f t="shared" si="12"/>
        <v>0.13503649635036497</v>
      </c>
    </row>
    <row r="106" spans="1:7" x14ac:dyDescent="0.2">
      <c r="A106">
        <v>0.20150000000000001</v>
      </c>
      <c r="B106">
        <v>8.9499999999999996E-2</v>
      </c>
      <c r="C106" s="1">
        <f t="shared" si="10"/>
        <v>403</v>
      </c>
      <c r="D106" s="1">
        <f t="shared" si="11"/>
        <v>179</v>
      </c>
      <c r="E106" s="1">
        <f t="shared" si="8"/>
        <v>179</v>
      </c>
      <c r="F106" s="1">
        <f t="shared" si="9"/>
        <v>1642</v>
      </c>
      <c r="G106" s="1">
        <f t="shared" si="12"/>
        <v>0.1364190012180268</v>
      </c>
    </row>
    <row r="107" spans="1:7" x14ac:dyDescent="0.2">
      <c r="A107">
        <v>0.19400000000000001</v>
      </c>
      <c r="B107">
        <v>8.9499999999999996E-2</v>
      </c>
      <c r="C107" s="1">
        <f t="shared" si="10"/>
        <v>388</v>
      </c>
      <c r="D107" s="1">
        <f t="shared" si="11"/>
        <v>179</v>
      </c>
      <c r="E107" s="1">
        <f t="shared" si="8"/>
        <v>179</v>
      </c>
      <c r="F107" s="1">
        <f t="shared" si="9"/>
        <v>1642</v>
      </c>
      <c r="G107" s="1">
        <f t="shared" si="12"/>
        <v>0.12728380024360536</v>
      </c>
    </row>
    <row r="108" spans="1:7" x14ac:dyDescent="0.2">
      <c r="A108">
        <v>0.19750000000000001</v>
      </c>
      <c r="B108">
        <v>8.9499999999999996E-2</v>
      </c>
      <c r="C108" s="1">
        <f t="shared" si="10"/>
        <v>395</v>
      </c>
      <c r="D108" s="1">
        <f t="shared" si="11"/>
        <v>179</v>
      </c>
      <c r="E108" s="1">
        <f t="shared" si="8"/>
        <v>179</v>
      </c>
      <c r="F108" s="1">
        <f t="shared" si="9"/>
        <v>1642</v>
      </c>
      <c r="G108" s="1">
        <f t="shared" si="12"/>
        <v>0.13154689403166869</v>
      </c>
    </row>
    <row r="109" spans="1:7" x14ac:dyDescent="0.2">
      <c r="A109">
        <v>0.19950000000000001</v>
      </c>
      <c r="B109">
        <v>8.9499999999999996E-2</v>
      </c>
      <c r="C109" s="1">
        <f t="shared" si="10"/>
        <v>399</v>
      </c>
      <c r="D109" s="1">
        <f t="shared" si="11"/>
        <v>179</v>
      </c>
      <c r="E109" s="1">
        <f t="shared" si="8"/>
        <v>179</v>
      </c>
      <c r="F109" s="1">
        <f t="shared" si="9"/>
        <v>1642</v>
      </c>
      <c r="G109" s="1">
        <f t="shared" si="12"/>
        <v>0.13398294762484775</v>
      </c>
    </row>
    <row r="110" spans="1:7" x14ac:dyDescent="0.2">
      <c r="A110">
        <v>0.20399999999999999</v>
      </c>
      <c r="B110">
        <v>8.9499999999999996E-2</v>
      </c>
      <c r="C110" s="1">
        <f t="shared" si="10"/>
        <v>408</v>
      </c>
      <c r="D110" s="1">
        <f t="shared" si="11"/>
        <v>179</v>
      </c>
      <c r="E110" s="1">
        <f t="shared" si="8"/>
        <v>179</v>
      </c>
      <c r="F110" s="1">
        <f t="shared" si="9"/>
        <v>1642</v>
      </c>
      <c r="G110" s="1">
        <f t="shared" si="12"/>
        <v>0.13946406820950061</v>
      </c>
    </row>
    <row r="111" spans="1:7" x14ac:dyDescent="0.2">
      <c r="A111">
        <v>0.20200000000000001</v>
      </c>
      <c r="B111">
        <v>8.9499999999999996E-2</v>
      </c>
      <c r="C111" s="1">
        <f t="shared" si="10"/>
        <v>404</v>
      </c>
      <c r="D111" s="1">
        <f t="shared" si="11"/>
        <v>179</v>
      </c>
      <c r="E111" s="1">
        <f t="shared" si="8"/>
        <v>179</v>
      </c>
      <c r="F111" s="1">
        <f t="shared" si="9"/>
        <v>1642</v>
      </c>
      <c r="G111" s="1">
        <f t="shared" si="12"/>
        <v>0.13702801461632155</v>
      </c>
    </row>
    <row r="112" spans="1:7" x14ac:dyDescent="0.2">
      <c r="A112">
        <v>0.19950000000000001</v>
      </c>
      <c r="B112">
        <v>0.09</v>
      </c>
      <c r="C112" s="1">
        <f t="shared" si="10"/>
        <v>399</v>
      </c>
      <c r="D112" s="1">
        <f t="shared" si="11"/>
        <v>180</v>
      </c>
      <c r="E112" s="1">
        <f t="shared" si="8"/>
        <v>180</v>
      </c>
      <c r="F112" s="1">
        <f t="shared" si="9"/>
        <v>1640</v>
      </c>
      <c r="G112" s="1">
        <f t="shared" si="12"/>
        <v>0.13353658536585367</v>
      </c>
    </row>
    <row r="113" spans="1:7" x14ac:dyDescent="0.2">
      <c r="A113">
        <v>0.19</v>
      </c>
      <c r="B113">
        <v>0.09</v>
      </c>
      <c r="C113" s="1">
        <f t="shared" si="10"/>
        <v>380</v>
      </c>
      <c r="D113" s="1">
        <f t="shared" si="11"/>
        <v>180</v>
      </c>
      <c r="E113" s="1">
        <f t="shared" si="8"/>
        <v>180</v>
      </c>
      <c r="F113" s="1">
        <f t="shared" si="9"/>
        <v>1640</v>
      </c>
      <c r="G113" s="1">
        <f t="shared" si="12"/>
        <v>0.12195121951219512</v>
      </c>
    </row>
    <row r="114" spans="1:7" x14ac:dyDescent="0.2">
      <c r="A114">
        <v>0.188</v>
      </c>
      <c r="B114">
        <v>0.09</v>
      </c>
      <c r="C114" s="1">
        <f t="shared" si="10"/>
        <v>376</v>
      </c>
      <c r="D114" s="1">
        <f t="shared" si="11"/>
        <v>180</v>
      </c>
      <c r="E114" s="1">
        <f t="shared" si="8"/>
        <v>180</v>
      </c>
      <c r="F114" s="1">
        <f t="shared" si="9"/>
        <v>1640</v>
      </c>
      <c r="G114" s="1">
        <f t="shared" si="12"/>
        <v>0.11951219512195121</v>
      </c>
    </row>
    <row r="115" spans="1:7" x14ac:dyDescent="0.2">
      <c r="A115">
        <v>0.2</v>
      </c>
      <c r="B115">
        <v>0.09</v>
      </c>
      <c r="C115" s="1">
        <f t="shared" si="10"/>
        <v>400</v>
      </c>
      <c r="D115" s="1">
        <f t="shared" si="11"/>
        <v>180</v>
      </c>
      <c r="E115" s="1">
        <f t="shared" si="8"/>
        <v>180</v>
      </c>
      <c r="F115" s="1">
        <f t="shared" si="9"/>
        <v>1640</v>
      </c>
      <c r="G115" s="1">
        <f t="shared" si="12"/>
        <v>0.13414634146341464</v>
      </c>
    </row>
    <row r="116" spans="1:7" x14ac:dyDescent="0.2">
      <c r="A116">
        <v>0.192</v>
      </c>
      <c r="B116">
        <v>9.0499999999999997E-2</v>
      </c>
      <c r="C116" s="1">
        <f t="shared" si="10"/>
        <v>384</v>
      </c>
      <c r="D116" s="1">
        <f t="shared" si="11"/>
        <v>181</v>
      </c>
      <c r="E116" s="1">
        <f t="shared" si="8"/>
        <v>181</v>
      </c>
      <c r="F116" s="1">
        <f t="shared" si="9"/>
        <v>1638</v>
      </c>
      <c r="G116" s="1">
        <f t="shared" si="12"/>
        <v>0.12393162393162394</v>
      </c>
    </row>
    <row r="117" spans="1:7" x14ac:dyDescent="0.2">
      <c r="A117">
        <v>0.17749999999999999</v>
      </c>
      <c r="B117">
        <v>9.0499999999999997E-2</v>
      </c>
      <c r="C117" s="1">
        <f t="shared" si="10"/>
        <v>355</v>
      </c>
      <c r="D117" s="1">
        <f t="shared" si="11"/>
        <v>181</v>
      </c>
      <c r="E117" s="1">
        <f t="shared" si="8"/>
        <v>181</v>
      </c>
      <c r="F117" s="1">
        <f t="shared" si="9"/>
        <v>1638</v>
      </c>
      <c r="G117" s="1">
        <f t="shared" si="12"/>
        <v>0.10622710622710622</v>
      </c>
    </row>
    <row r="118" spans="1:7" x14ac:dyDescent="0.2">
      <c r="A118">
        <v>0.19400000000000001</v>
      </c>
      <c r="B118">
        <v>9.0499999999999997E-2</v>
      </c>
      <c r="C118" s="1">
        <f t="shared" si="10"/>
        <v>388</v>
      </c>
      <c r="D118" s="1">
        <f t="shared" si="11"/>
        <v>181</v>
      </c>
      <c r="E118" s="1">
        <f t="shared" si="8"/>
        <v>181</v>
      </c>
      <c r="F118" s="1">
        <f t="shared" si="9"/>
        <v>1638</v>
      </c>
      <c r="G118" s="1">
        <f t="shared" si="12"/>
        <v>0.12637362637362637</v>
      </c>
    </row>
    <row r="119" spans="1:7" x14ac:dyDescent="0.2">
      <c r="A119">
        <v>0.19500000000000001</v>
      </c>
      <c r="B119">
        <v>9.0999999999999998E-2</v>
      </c>
      <c r="C119" s="1">
        <f t="shared" si="10"/>
        <v>390</v>
      </c>
      <c r="D119" s="1">
        <f t="shared" si="11"/>
        <v>182</v>
      </c>
      <c r="E119" s="1">
        <f t="shared" si="8"/>
        <v>182</v>
      </c>
      <c r="F119" s="1">
        <f t="shared" si="9"/>
        <v>1636</v>
      </c>
      <c r="G119" s="1">
        <f t="shared" si="12"/>
        <v>0.12713936430317849</v>
      </c>
    </row>
    <row r="120" spans="1:7" x14ac:dyDescent="0.2">
      <c r="A120">
        <v>0.20100000000000001</v>
      </c>
      <c r="B120">
        <v>9.0999999999999998E-2</v>
      </c>
      <c r="C120" s="1">
        <f t="shared" si="10"/>
        <v>402</v>
      </c>
      <c r="D120" s="1">
        <f t="shared" si="11"/>
        <v>182</v>
      </c>
      <c r="E120" s="1">
        <f t="shared" si="8"/>
        <v>182</v>
      </c>
      <c r="F120" s="1">
        <f t="shared" si="9"/>
        <v>1636</v>
      </c>
      <c r="G120" s="1">
        <f t="shared" si="12"/>
        <v>0.13447432762836187</v>
      </c>
    </row>
    <row r="121" spans="1:7" x14ac:dyDescent="0.2">
      <c r="A121">
        <v>0.20150000000000001</v>
      </c>
      <c r="B121">
        <v>9.0999999999999998E-2</v>
      </c>
      <c r="C121" s="1">
        <f t="shared" si="10"/>
        <v>403</v>
      </c>
      <c r="D121" s="1">
        <f t="shared" si="11"/>
        <v>182</v>
      </c>
      <c r="E121" s="1">
        <f t="shared" si="8"/>
        <v>182</v>
      </c>
      <c r="F121" s="1">
        <f t="shared" si="9"/>
        <v>1636</v>
      </c>
      <c r="G121" s="1">
        <f t="shared" si="12"/>
        <v>0.13508557457212714</v>
      </c>
    </row>
    <row r="122" spans="1:7" x14ac:dyDescent="0.2">
      <c r="A122">
        <v>0.20699999999999999</v>
      </c>
      <c r="B122">
        <v>9.0999999999999998E-2</v>
      </c>
      <c r="C122" s="1">
        <f t="shared" si="10"/>
        <v>414</v>
      </c>
      <c r="D122" s="1">
        <f t="shared" si="11"/>
        <v>182</v>
      </c>
      <c r="E122" s="1">
        <f t="shared" si="8"/>
        <v>182</v>
      </c>
      <c r="F122" s="1">
        <f t="shared" si="9"/>
        <v>1636</v>
      </c>
      <c r="G122" s="1">
        <f t="shared" si="12"/>
        <v>0.14180929095354522</v>
      </c>
    </row>
    <row r="123" spans="1:7" x14ac:dyDescent="0.2">
      <c r="A123">
        <v>0.193</v>
      </c>
      <c r="B123">
        <v>9.0999999999999998E-2</v>
      </c>
      <c r="C123" s="1">
        <f t="shared" si="10"/>
        <v>386</v>
      </c>
      <c r="D123" s="1">
        <f t="shared" si="11"/>
        <v>182</v>
      </c>
      <c r="E123" s="1">
        <f t="shared" si="8"/>
        <v>182</v>
      </c>
      <c r="F123" s="1">
        <f t="shared" si="9"/>
        <v>1636</v>
      </c>
      <c r="G123" s="1">
        <f t="shared" si="12"/>
        <v>0.12469437652811736</v>
      </c>
    </row>
    <row r="124" spans="1:7" x14ac:dyDescent="0.2">
      <c r="A124">
        <v>0.20849999999999999</v>
      </c>
      <c r="B124">
        <v>9.0999999999999998E-2</v>
      </c>
      <c r="C124" s="1">
        <f t="shared" si="10"/>
        <v>417</v>
      </c>
      <c r="D124" s="1">
        <f t="shared" si="11"/>
        <v>182</v>
      </c>
      <c r="E124" s="1">
        <f t="shared" si="8"/>
        <v>182</v>
      </c>
      <c r="F124" s="1">
        <f t="shared" si="9"/>
        <v>1636</v>
      </c>
      <c r="G124" s="1">
        <f t="shared" si="12"/>
        <v>0.14364303178484109</v>
      </c>
    </row>
    <row r="125" spans="1:7" x14ac:dyDescent="0.2">
      <c r="A125">
        <v>0.1925</v>
      </c>
      <c r="B125">
        <v>9.0999999999999998E-2</v>
      </c>
      <c r="C125" s="1">
        <f t="shared" si="10"/>
        <v>385</v>
      </c>
      <c r="D125" s="1">
        <f t="shared" si="11"/>
        <v>182</v>
      </c>
      <c r="E125" s="1">
        <f t="shared" si="8"/>
        <v>182</v>
      </c>
      <c r="F125" s="1">
        <f t="shared" si="9"/>
        <v>1636</v>
      </c>
      <c r="G125" s="1">
        <f t="shared" si="12"/>
        <v>0.12408312958435208</v>
      </c>
    </row>
    <row r="126" spans="1:7" x14ac:dyDescent="0.2">
      <c r="A126">
        <v>0.2</v>
      </c>
      <c r="B126">
        <v>9.1499999999999998E-2</v>
      </c>
      <c r="C126" s="1">
        <f t="shared" si="10"/>
        <v>400</v>
      </c>
      <c r="D126" s="1">
        <f t="shared" si="11"/>
        <v>183</v>
      </c>
      <c r="E126" s="1">
        <f t="shared" si="8"/>
        <v>183</v>
      </c>
      <c r="F126" s="1">
        <f t="shared" si="9"/>
        <v>1634</v>
      </c>
      <c r="G126" s="1">
        <f t="shared" si="12"/>
        <v>0.13280293757649939</v>
      </c>
    </row>
    <row r="127" spans="1:7" x14ac:dyDescent="0.2">
      <c r="A127">
        <v>0.20799999999999999</v>
      </c>
      <c r="B127">
        <v>9.1499999999999998E-2</v>
      </c>
      <c r="C127" s="1">
        <f t="shared" si="10"/>
        <v>416</v>
      </c>
      <c r="D127" s="1">
        <f t="shared" si="11"/>
        <v>183</v>
      </c>
      <c r="E127" s="1">
        <f t="shared" si="8"/>
        <v>183</v>
      </c>
      <c r="F127" s="1">
        <f t="shared" si="9"/>
        <v>1634</v>
      </c>
      <c r="G127" s="1">
        <f t="shared" si="12"/>
        <v>0.14259485924112608</v>
      </c>
    </row>
    <row r="128" spans="1:7" x14ac:dyDescent="0.2">
      <c r="A128">
        <v>0.19750000000000001</v>
      </c>
      <c r="B128">
        <v>9.1999999999999998E-2</v>
      </c>
      <c r="C128" s="1">
        <f t="shared" si="10"/>
        <v>395</v>
      </c>
      <c r="D128" s="1">
        <f t="shared" si="11"/>
        <v>184</v>
      </c>
      <c r="E128" s="1">
        <f t="shared" si="8"/>
        <v>184</v>
      </c>
      <c r="F128" s="1">
        <f t="shared" si="9"/>
        <v>1632</v>
      </c>
      <c r="G128" s="1">
        <f t="shared" si="12"/>
        <v>0.12928921568627452</v>
      </c>
    </row>
    <row r="129" spans="1:7" x14ac:dyDescent="0.2">
      <c r="A129">
        <v>0.21</v>
      </c>
      <c r="B129">
        <v>9.1999999999999998E-2</v>
      </c>
      <c r="C129" s="1">
        <f t="shared" si="10"/>
        <v>420</v>
      </c>
      <c r="D129" s="1">
        <f t="shared" si="11"/>
        <v>184</v>
      </c>
      <c r="E129" s="1">
        <f t="shared" si="8"/>
        <v>184</v>
      </c>
      <c r="F129" s="1">
        <f t="shared" si="9"/>
        <v>1632</v>
      </c>
      <c r="G129" s="1">
        <f t="shared" si="12"/>
        <v>0.14460784313725492</v>
      </c>
    </row>
    <row r="130" spans="1:7" x14ac:dyDescent="0.2">
      <c r="A130">
        <v>0.20250000000000001</v>
      </c>
      <c r="B130">
        <v>9.1999999999999998E-2</v>
      </c>
      <c r="C130" s="1">
        <f t="shared" si="10"/>
        <v>405</v>
      </c>
      <c r="D130" s="1">
        <f t="shared" si="11"/>
        <v>184</v>
      </c>
      <c r="E130" s="1">
        <f t="shared" si="8"/>
        <v>184</v>
      </c>
      <c r="F130" s="1">
        <f t="shared" si="9"/>
        <v>1632</v>
      </c>
      <c r="G130" s="1">
        <f t="shared" si="12"/>
        <v>0.13541666666666666</v>
      </c>
    </row>
    <row r="131" spans="1:7" x14ac:dyDescent="0.2">
      <c r="A131">
        <v>0.193</v>
      </c>
      <c r="B131">
        <v>9.1999999999999998E-2</v>
      </c>
      <c r="C131" s="1">
        <f t="shared" si="10"/>
        <v>386</v>
      </c>
      <c r="D131" s="1">
        <f t="shared" si="11"/>
        <v>184</v>
      </c>
      <c r="E131" s="1">
        <f t="shared" ref="E131:E191" si="13">MIN(D131,$J$7-D131)</f>
        <v>184</v>
      </c>
      <c r="F131" s="1">
        <f t="shared" ref="F131:F191" si="14">$J$7-2*E131</f>
        <v>1632</v>
      </c>
      <c r="G131" s="1">
        <f t="shared" si="12"/>
        <v>0.12377450980392157</v>
      </c>
    </row>
    <row r="132" spans="1:7" x14ac:dyDescent="0.2">
      <c r="A132">
        <v>0.20649999999999999</v>
      </c>
      <c r="B132">
        <v>9.1999999999999998E-2</v>
      </c>
      <c r="C132" s="1">
        <f t="shared" si="10"/>
        <v>413</v>
      </c>
      <c r="D132" s="1">
        <f t="shared" si="11"/>
        <v>184</v>
      </c>
      <c r="E132" s="1">
        <f t="shared" si="13"/>
        <v>184</v>
      </c>
      <c r="F132" s="1">
        <f t="shared" si="14"/>
        <v>1632</v>
      </c>
      <c r="G132" s="1">
        <f t="shared" si="12"/>
        <v>0.14031862745098039</v>
      </c>
    </row>
    <row r="133" spans="1:7" x14ac:dyDescent="0.2">
      <c r="A133">
        <v>0.21149999999999999</v>
      </c>
      <c r="B133">
        <v>9.1999999999999998E-2</v>
      </c>
      <c r="C133" s="1">
        <f t="shared" si="10"/>
        <v>423</v>
      </c>
      <c r="D133" s="1">
        <f t="shared" si="11"/>
        <v>184</v>
      </c>
      <c r="E133" s="1">
        <f t="shared" si="13"/>
        <v>184</v>
      </c>
      <c r="F133" s="1">
        <f t="shared" si="14"/>
        <v>1632</v>
      </c>
      <c r="G133" s="1">
        <f t="shared" si="12"/>
        <v>0.14644607843137256</v>
      </c>
    </row>
    <row r="134" spans="1:7" x14ac:dyDescent="0.2">
      <c r="A134">
        <v>0.19550000000000001</v>
      </c>
      <c r="B134">
        <v>9.1999999999999998E-2</v>
      </c>
      <c r="C134" s="1">
        <f t="shared" si="10"/>
        <v>391</v>
      </c>
      <c r="D134" s="1">
        <f t="shared" si="11"/>
        <v>184</v>
      </c>
      <c r="E134" s="1">
        <f t="shared" si="13"/>
        <v>184</v>
      </c>
      <c r="F134" s="1">
        <f t="shared" si="14"/>
        <v>1632</v>
      </c>
      <c r="G134" s="1">
        <f t="shared" si="12"/>
        <v>0.12683823529411764</v>
      </c>
    </row>
    <row r="135" spans="1:7" x14ac:dyDescent="0.2">
      <c r="A135">
        <v>0.20499999999999999</v>
      </c>
      <c r="B135">
        <v>9.2499999999999999E-2</v>
      </c>
      <c r="C135" s="1">
        <f t="shared" si="10"/>
        <v>410</v>
      </c>
      <c r="D135" s="1">
        <f t="shared" si="11"/>
        <v>185</v>
      </c>
      <c r="E135" s="1">
        <f t="shared" si="13"/>
        <v>185</v>
      </c>
      <c r="F135" s="1">
        <f t="shared" si="14"/>
        <v>1630</v>
      </c>
      <c r="G135" s="1">
        <f t="shared" si="12"/>
        <v>0.13803680981595093</v>
      </c>
    </row>
    <row r="136" spans="1:7" x14ac:dyDescent="0.2">
      <c r="A136">
        <v>0.2155</v>
      </c>
      <c r="B136">
        <v>9.2499999999999999E-2</v>
      </c>
      <c r="C136" s="1">
        <f t="shared" si="10"/>
        <v>431</v>
      </c>
      <c r="D136" s="1">
        <f t="shared" si="11"/>
        <v>185</v>
      </c>
      <c r="E136" s="1">
        <f t="shared" si="13"/>
        <v>185</v>
      </c>
      <c r="F136" s="1">
        <f t="shared" si="14"/>
        <v>1630</v>
      </c>
      <c r="G136" s="1">
        <f t="shared" si="12"/>
        <v>0.150920245398773</v>
      </c>
    </row>
    <row r="137" spans="1:7" x14ac:dyDescent="0.2">
      <c r="A137">
        <v>0.19500000000000001</v>
      </c>
      <c r="B137">
        <v>9.2999999999999999E-2</v>
      </c>
      <c r="C137" s="1">
        <f t="shared" si="10"/>
        <v>390</v>
      </c>
      <c r="D137" s="1">
        <f t="shared" si="11"/>
        <v>186</v>
      </c>
      <c r="E137" s="1">
        <f t="shared" si="13"/>
        <v>186</v>
      </c>
      <c r="F137" s="1">
        <f t="shared" si="14"/>
        <v>1628</v>
      </c>
      <c r="G137" s="1">
        <f t="shared" si="12"/>
        <v>0.12530712530712532</v>
      </c>
    </row>
    <row r="138" spans="1:7" x14ac:dyDescent="0.2">
      <c r="A138">
        <v>0.20649999999999999</v>
      </c>
      <c r="B138">
        <v>9.2999999999999999E-2</v>
      </c>
      <c r="C138" s="1">
        <f t="shared" si="10"/>
        <v>413</v>
      </c>
      <c r="D138" s="1">
        <f t="shared" si="11"/>
        <v>186</v>
      </c>
      <c r="E138" s="1">
        <f t="shared" si="13"/>
        <v>186</v>
      </c>
      <c r="F138" s="1">
        <f t="shared" si="14"/>
        <v>1628</v>
      </c>
      <c r="G138" s="1">
        <f t="shared" si="12"/>
        <v>0.13943488943488944</v>
      </c>
    </row>
    <row r="139" spans="1:7" x14ac:dyDescent="0.2">
      <c r="A139">
        <v>0.2185</v>
      </c>
      <c r="B139">
        <v>9.2999999999999999E-2</v>
      </c>
      <c r="C139" s="1">
        <f t="shared" si="10"/>
        <v>437</v>
      </c>
      <c r="D139" s="1">
        <f t="shared" si="11"/>
        <v>186</v>
      </c>
      <c r="E139" s="1">
        <f t="shared" si="13"/>
        <v>186</v>
      </c>
      <c r="F139" s="1">
        <f t="shared" si="14"/>
        <v>1628</v>
      </c>
      <c r="G139" s="1">
        <f t="shared" si="12"/>
        <v>0.15417690417690419</v>
      </c>
    </row>
    <row r="140" spans="1:7" x14ac:dyDescent="0.2">
      <c r="A140">
        <v>0.20649999999999999</v>
      </c>
      <c r="B140">
        <v>9.2999999999999999E-2</v>
      </c>
      <c r="C140" s="1">
        <f t="shared" si="10"/>
        <v>413</v>
      </c>
      <c r="D140" s="1">
        <f t="shared" si="11"/>
        <v>186</v>
      </c>
      <c r="E140" s="1">
        <f t="shared" si="13"/>
        <v>186</v>
      </c>
      <c r="F140" s="1">
        <f t="shared" si="14"/>
        <v>1628</v>
      </c>
      <c r="G140" s="1">
        <f t="shared" si="12"/>
        <v>0.13943488943488944</v>
      </c>
    </row>
    <row r="141" spans="1:7" x14ac:dyDescent="0.2">
      <c r="A141">
        <v>0.21299999999999999</v>
      </c>
      <c r="B141">
        <v>9.35E-2</v>
      </c>
      <c r="C141" s="1">
        <f t="shared" si="10"/>
        <v>426</v>
      </c>
      <c r="D141" s="1">
        <f t="shared" si="11"/>
        <v>187</v>
      </c>
      <c r="E141" s="1">
        <f t="shared" si="13"/>
        <v>187</v>
      </c>
      <c r="F141" s="1">
        <f t="shared" si="14"/>
        <v>1626</v>
      </c>
      <c r="G141" s="1">
        <f t="shared" si="12"/>
        <v>0.14698646986469865</v>
      </c>
    </row>
    <row r="142" spans="1:7" x14ac:dyDescent="0.2">
      <c r="A142">
        <v>0.20100000000000001</v>
      </c>
      <c r="B142">
        <v>9.4E-2</v>
      </c>
      <c r="C142" s="1">
        <f t="shared" si="10"/>
        <v>402</v>
      </c>
      <c r="D142" s="1">
        <f t="shared" si="11"/>
        <v>188</v>
      </c>
      <c r="E142" s="1">
        <f t="shared" si="13"/>
        <v>188</v>
      </c>
      <c r="F142" s="1">
        <f t="shared" si="14"/>
        <v>1624</v>
      </c>
      <c r="G142" s="1">
        <f t="shared" si="12"/>
        <v>0.13177339901477833</v>
      </c>
    </row>
    <row r="143" spans="1:7" x14ac:dyDescent="0.2">
      <c r="A143">
        <v>0.20200000000000001</v>
      </c>
      <c r="B143">
        <v>9.4E-2</v>
      </c>
      <c r="C143" s="1">
        <f t="shared" si="10"/>
        <v>404</v>
      </c>
      <c r="D143" s="1">
        <f t="shared" si="11"/>
        <v>188</v>
      </c>
      <c r="E143" s="1">
        <f t="shared" si="13"/>
        <v>188</v>
      </c>
      <c r="F143" s="1">
        <f t="shared" si="14"/>
        <v>1624</v>
      </c>
      <c r="G143" s="1">
        <f t="shared" si="12"/>
        <v>0.13300492610837439</v>
      </c>
    </row>
    <row r="144" spans="1:7" x14ac:dyDescent="0.2">
      <c r="A144">
        <v>0.2</v>
      </c>
      <c r="B144">
        <v>9.4E-2</v>
      </c>
      <c r="C144" s="1">
        <f t="shared" si="10"/>
        <v>400</v>
      </c>
      <c r="D144" s="1">
        <f t="shared" si="11"/>
        <v>188</v>
      </c>
      <c r="E144" s="1">
        <f t="shared" si="13"/>
        <v>188</v>
      </c>
      <c r="F144" s="1">
        <f t="shared" si="14"/>
        <v>1624</v>
      </c>
      <c r="G144" s="1">
        <f t="shared" si="12"/>
        <v>0.13054187192118227</v>
      </c>
    </row>
    <row r="145" spans="1:7" x14ac:dyDescent="0.2">
      <c r="A145">
        <v>0.1875</v>
      </c>
      <c r="B145">
        <v>9.4E-2</v>
      </c>
      <c r="C145" s="1">
        <f t="shared" si="10"/>
        <v>375</v>
      </c>
      <c r="D145" s="1">
        <f t="shared" si="11"/>
        <v>188</v>
      </c>
      <c r="E145" s="1">
        <f t="shared" si="13"/>
        <v>188</v>
      </c>
      <c r="F145" s="1">
        <f t="shared" si="14"/>
        <v>1624</v>
      </c>
      <c r="G145" s="1">
        <f t="shared" si="12"/>
        <v>0.11514778325123153</v>
      </c>
    </row>
    <row r="146" spans="1:7" x14ac:dyDescent="0.2">
      <c r="A146">
        <v>0.19550000000000001</v>
      </c>
      <c r="B146">
        <v>9.4E-2</v>
      </c>
      <c r="C146" s="1">
        <f t="shared" si="10"/>
        <v>391</v>
      </c>
      <c r="D146" s="1">
        <f t="shared" si="11"/>
        <v>188</v>
      </c>
      <c r="E146" s="1">
        <f t="shared" si="13"/>
        <v>188</v>
      </c>
      <c r="F146" s="1">
        <f t="shared" si="14"/>
        <v>1624</v>
      </c>
      <c r="G146" s="1">
        <f t="shared" si="12"/>
        <v>0.125</v>
      </c>
    </row>
    <row r="147" spans="1:7" x14ac:dyDescent="0.2">
      <c r="A147">
        <v>0.19650000000000001</v>
      </c>
      <c r="B147">
        <v>9.4E-2</v>
      </c>
      <c r="C147" s="1">
        <f t="shared" si="10"/>
        <v>393</v>
      </c>
      <c r="D147" s="1">
        <f t="shared" si="11"/>
        <v>188</v>
      </c>
      <c r="E147" s="1">
        <f t="shared" si="13"/>
        <v>188</v>
      </c>
      <c r="F147" s="1">
        <f t="shared" si="14"/>
        <v>1624</v>
      </c>
      <c r="G147" s="1">
        <f t="shared" si="12"/>
        <v>0.12623152709359606</v>
      </c>
    </row>
    <row r="148" spans="1:7" x14ac:dyDescent="0.2">
      <c r="A148">
        <v>0.20749999999999999</v>
      </c>
      <c r="B148">
        <v>9.4500000000000001E-2</v>
      </c>
      <c r="C148" s="1">
        <f t="shared" si="10"/>
        <v>415</v>
      </c>
      <c r="D148" s="1">
        <f t="shared" si="11"/>
        <v>189</v>
      </c>
      <c r="E148" s="1">
        <f t="shared" si="13"/>
        <v>189</v>
      </c>
      <c r="F148" s="1">
        <f t="shared" si="14"/>
        <v>1622</v>
      </c>
      <c r="G148" s="1">
        <f t="shared" si="12"/>
        <v>0.13933415536374846</v>
      </c>
    </row>
    <row r="149" spans="1:7" x14ac:dyDescent="0.2">
      <c r="A149">
        <v>0.18049999999999999</v>
      </c>
      <c r="B149">
        <v>9.4500000000000001E-2</v>
      </c>
      <c r="C149" s="1">
        <f t="shared" si="10"/>
        <v>361</v>
      </c>
      <c r="D149" s="1">
        <f t="shared" si="11"/>
        <v>189</v>
      </c>
      <c r="E149" s="1">
        <f t="shared" si="13"/>
        <v>189</v>
      </c>
      <c r="F149" s="1">
        <f t="shared" si="14"/>
        <v>1622</v>
      </c>
      <c r="G149" s="1">
        <f t="shared" si="12"/>
        <v>0.1060419235511714</v>
      </c>
    </row>
    <row r="150" spans="1:7" x14ac:dyDescent="0.2">
      <c r="A150">
        <v>0.193</v>
      </c>
      <c r="B150">
        <v>9.5000000000000001E-2</v>
      </c>
      <c r="C150" s="1">
        <f t="shared" si="10"/>
        <v>386</v>
      </c>
      <c r="D150" s="1">
        <f t="shared" si="11"/>
        <v>190</v>
      </c>
      <c r="E150" s="1">
        <f t="shared" si="13"/>
        <v>190</v>
      </c>
      <c r="F150" s="1">
        <f t="shared" si="14"/>
        <v>1620</v>
      </c>
      <c r="G150" s="1">
        <f t="shared" si="12"/>
        <v>0.12098765432098765</v>
      </c>
    </row>
    <row r="151" spans="1:7" x14ac:dyDescent="0.2">
      <c r="A151">
        <v>0.20549999999999999</v>
      </c>
      <c r="B151">
        <v>9.5000000000000001E-2</v>
      </c>
      <c r="C151" s="1">
        <f t="shared" si="10"/>
        <v>411</v>
      </c>
      <c r="D151" s="1">
        <f t="shared" si="11"/>
        <v>190</v>
      </c>
      <c r="E151" s="1">
        <f t="shared" si="13"/>
        <v>190</v>
      </c>
      <c r="F151" s="1">
        <f t="shared" si="14"/>
        <v>1620</v>
      </c>
      <c r="G151" s="1">
        <f t="shared" si="12"/>
        <v>0.13641975308641976</v>
      </c>
    </row>
    <row r="152" spans="1:7" x14ac:dyDescent="0.2">
      <c r="A152">
        <v>0.19750000000000001</v>
      </c>
      <c r="B152">
        <v>9.5000000000000001E-2</v>
      </c>
      <c r="C152" s="1">
        <f t="shared" si="10"/>
        <v>395</v>
      </c>
      <c r="D152" s="1">
        <f t="shared" si="11"/>
        <v>190</v>
      </c>
      <c r="E152" s="1">
        <f t="shared" si="13"/>
        <v>190</v>
      </c>
      <c r="F152" s="1">
        <f t="shared" si="14"/>
        <v>1620</v>
      </c>
      <c r="G152" s="1">
        <f t="shared" si="12"/>
        <v>0.12654320987654322</v>
      </c>
    </row>
    <row r="153" spans="1:7" x14ac:dyDescent="0.2">
      <c r="A153">
        <v>0.1905</v>
      </c>
      <c r="B153">
        <v>9.5500000000000002E-2</v>
      </c>
      <c r="C153" s="1">
        <f t="shared" si="10"/>
        <v>381</v>
      </c>
      <c r="D153" s="1">
        <f t="shared" si="11"/>
        <v>191</v>
      </c>
      <c r="E153" s="1">
        <f t="shared" si="13"/>
        <v>191</v>
      </c>
      <c r="F153" s="1">
        <f t="shared" si="14"/>
        <v>1618</v>
      </c>
      <c r="G153" s="1">
        <f t="shared" si="12"/>
        <v>0.11742892459826947</v>
      </c>
    </row>
    <row r="154" spans="1:7" x14ac:dyDescent="0.2">
      <c r="A154">
        <v>0.2</v>
      </c>
      <c r="B154">
        <v>9.6000000000000002E-2</v>
      </c>
      <c r="C154" s="1">
        <f t="shared" si="10"/>
        <v>400</v>
      </c>
      <c r="D154" s="1">
        <f t="shared" si="11"/>
        <v>192</v>
      </c>
      <c r="E154" s="1">
        <f t="shared" si="13"/>
        <v>192</v>
      </c>
      <c r="F154" s="1">
        <f t="shared" si="14"/>
        <v>1616</v>
      </c>
      <c r="G154" s="1">
        <f t="shared" si="12"/>
        <v>0.12871287128712872</v>
      </c>
    </row>
    <row r="155" spans="1:7" x14ac:dyDescent="0.2">
      <c r="A155">
        <v>0.188</v>
      </c>
      <c r="B155">
        <v>9.6000000000000002E-2</v>
      </c>
      <c r="C155" s="1">
        <f t="shared" si="10"/>
        <v>376</v>
      </c>
      <c r="D155" s="1">
        <f t="shared" si="11"/>
        <v>192</v>
      </c>
      <c r="E155" s="1">
        <f t="shared" si="13"/>
        <v>192</v>
      </c>
      <c r="F155" s="1">
        <f t="shared" si="14"/>
        <v>1616</v>
      </c>
      <c r="G155" s="1">
        <f t="shared" si="12"/>
        <v>0.11386138613861387</v>
      </c>
    </row>
    <row r="156" spans="1:7" x14ac:dyDescent="0.2">
      <c r="A156">
        <v>0.20799999999999999</v>
      </c>
      <c r="B156">
        <v>9.6500000000000002E-2</v>
      </c>
      <c r="C156" s="1">
        <f t="shared" si="10"/>
        <v>416</v>
      </c>
      <c r="D156" s="1">
        <f t="shared" si="11"/>
        <v>193</v>
      </c>
      <c r="E156" s="1">
        <f t="shared" si="13"/>
        <v>193</v>
      </c>
      <c r="F156" s="1">
        <f t="shared" si="14"/>
        <v>1614</v>
      </c>
      <c r="G156" s="1">
        <f t="shared" si="12"/>
        <v>0.13816604708798016</v>
      </c>
    </row>
    <row r="157" spans="1:7" x14ac:dyDescent="0.2">
      <c r="A157">
        <v>0.20150000000000001</v>
      </c>
      <c r="B157">
        <v>9.6500000000000002E-2</v>
      </c>
      <c r="C157" s="1">
        <f t="shared" ref="C157:C210" si="15">A157*$J$7</f>
        <v>403</v>
      </c>
      <c r="D157" s="1">
        <f t="shared" ref="D157:D210" si="16">B157*$J$7</f>
        <v>193</v>
      </c>
      <c r="E157" s="1">
        <f t="shared" si="13"/>
        <v>193</v>
      </c>
      <c r="F157" s="1">
        <f t="shared" si="14"/>
        <v>1614</v>
      </c>
      <c r="G157" s="1">
        <f t="shared" ref="G157:G210" si="17">(C157-E157)/F157</f>
        <v>0.13011152416356878</v>
      </c>
    </row>
    <row r="158" spans="1:7" x14ac:dyDescent="0.2">
      <c r="A158">
        <v>0.19650000000000001</v>
      </c>
      <c r="B158">
        <v>9.7000000000000003E-2</v>
      </c>
      <c r="C158" s="1">
        <f t="shared" si="15"/>
        <v>393</v>
      </c>
      <c r="D158" s="1">
        <f t="shared" si="16"/>
        <v>194</v>
      </c>
      <c r="E158" s="1">
        <f t="shared" si="13"/>
        <v>194</v>
      </c>
      <c r="F158" s="1">
        <f t="shared" si="14"/>
        <v>1612</v>
      </c>
      <c r="G158" s="1">
        <f t="shared" si="17"/>
        <v>0.12344913151364764</v>
      </c>
    </row>
    <row r="159" spans="1:7" x14ac:dyDescent="0.2">
      <c r="A159">
        <v>0.19800000000000001</v>
      </c>
      <c r="B159">
        <v>9.7000000000000003E-2</v>
      </c>
      <c r="C159" s="1">
        <f t="shared" si="15"/>
        <v>396</v>
      </c>
      <c r="D159" s="1">
        <f t="shared" si="16"/>
        <v>194</v>
      </c>
      <c r="E159" s="1">
        <f t="shared" si="13"/>
        <v>194</v>
      </c>
      <c r="F159" s="1">
        <f t="shared" si="14"/>
        <v>1612</v>
      </c>
      <c r="G159" s="1">
        <f t="shared" si="17"/>
        <v>0.12531017369727046</v>
      </c>
    </row>
    <row r="160" spans="1:7" x14ac:dyDescent="0.2">
      <c r="A160">
        <v>0.21049999999999999</v>
      </c>
      <c r="B160">
        <v>9.8000000000000004E-2</v>
      </c>
      <c r="C160" s="1">
        <f t="shared" si="15"/>
        <v>421</v>
      </c>
      <c r="D160" s="1">
        <f t="shared" si="16"/>
        <v>196</v>
      </c>
      <c r="E160" s="1">
        <f t="shared" si="13"/>
        <v>196</v>
      </c>
      <c r="F160" s="1">
        <f t="shared" si="14"/>
        <v>1608</v>
      </c>
      <c r="G160" s="1">
        <f t="shared" si="17"/>
        <v>0.13992537313432835</v>
      </c>
    </row>
    <row r="161" spans="1:7" x14ac:dyDescent="0.2">
      <c r="A161">
        <v>0.20949999999999999</v>
      </c>
      <c r="B161">
        <v>9.8000000000000004E-2</v>
      </c>
      <c r="C161" s="1">
        <f t="shared" si="15"/>
        <v>419</v>
      </c>
      <c r="D161" s="1">
        <f t="shared" si="16"/>
        <v>196</v>
      </c>
      <c r="E161" s="1">
        <f t="shared" si="13"/>
        <v>196</v>
      </c>
      <c r="F161" s="1">
        <f t="shared" si="14"/>
        <v>1608</v>
      </c>
      <c r="G161" s="1">
        <f t="shared" si="17"/>
        <v>0.13868159203980099</v>
      </c>
    </row>
    <row r="162" spans="1:7" x14ac:dyDescent="0.2">
      <c r="A162">
        <v>0.18149999999999999</v>
      </c>
      <c r="B162">
        <v>9.8000000000000004E-2</v>
      </c>
      <c r="C162" s="1">
        <f t="shared" si="15"/>
        <v>363</v>
      </c>
      <c r="D162" s="1">
        <f t="shared" si="16"/>
        <v>196</v>
      </c>
      <c r="E162" s="1">
        <f t="shared" si="13"/>
        <v>196</v>
      </c>
      <c r="F162" s="1">
        <f t="shared" si="14"/>
        <v>1608</v>
      </c>
      <c r="G162" s="1">
        <f t="shared" si="17"/>
        <v>0.10385572139303482</v>
      </c>
    </row>
    <row r="163" spans="1:7" x14ac:dyDescent="0.2">
      <c r="A163">
        <v>0.19800000000000001</v>
      </c>
      <c r="B163">
        <v>9.8000000000000004E-2</v>
      </c>
      <c r="C163" s="1">
        <f t="shared" si="15"/>
        <v>396</v>
      </c>
      <c r="D163" s="1">
        <f t="shared" si="16"/>
        <v>196</v>
      </c>
      <c r="E163" s="1">
        <f t="shared" si="13"/>
        <v>196</v>
      </c>
      <c r="F163" s="1">
        <f t="shared" si="14"/>
        <v>1608</v>
      </c>
      <c r="G163" s="1">
        <f t="shared" si="17"/>
        <v>0.12437810945273632</v>
      </c>
    </row>
    <row r="164" spans="1:7" x14ac:dyDescent="0.2">
      <c r="A164">
        <v>0.1865</v>
      </c>
      <c r="B164">
        <v>9.8500000000000004E-2</v>
      </c>
      <c r="C164" s="1">
        <f t="shared" si="15"/>
        <v>373</v>
      </c>
      <c r="D164" s="1">
        <f t="shared" si="16"/>
        <v>197</v>
      </c>
      <c r="E164" s="1">
        <f t="shared" si="13"/>
        <v>197</v>
      </c>
      <c r="F164" s="1">
        <f t="shared" si="14"/>
        <v>1606</v>
      </c>
      <c r="G164" s="1">
        <f t="shared" si="17"/>
        <v>0.1095890410958904</v>
      </c>
    </row>
    <row r="165" spans="1:7" x14ac:dyDescent="0.2">
      <c r="A165">
        <v>0.185</v>
      </c>
      <c r="B165">
        <v>9.9000000000000005E-2</v>
      </c>
      <c r="C165" s="1">
        <f t="shared" si="15"/>
        <v>370</v>
      </c>
      <c r="D165" s="1">
        <f t="shared" si="16"/>
        <v>198</v>
      </c>
      <c r="E165" s="1">
        <f t="shared" si="13"/>
        <v>198</v>
      </c>
      <c r="F165" s="1">
        <f t="shared" si="14"/>
        <v>1604</v>
      </c>
      <c r="G165" s="1">
        <f t="shared" si="17"/>
        <v>0.10723192019950124</v>
      </c>
    </row>
    <row r="166" spans="1:7" x14ac:dyDescent="0.2">
      <c r="A166">
        <v>0.191</v>
      </c>
      <c r="B166">
        <v>9.9000000000000005E-2</v>
      </c>
      <c r="C166" s="1">
        <f t="shared" si="15"/>
        <v>382</v>
      </c>
      <c r="D166" s="1">
        <f t="shared" si="16"/>
        <v>198</v>
      </c>
      <c r="E166" s="1">
        <f t="shared" si="13"/>
        <v>198</v>
      </c>
      <c r="F166" s="1">
        <f t="shared" si="14"/>
        <v>1604</v>
      </c>
      <c r="G166" s="1">
        <f t="shared" si="17"/>
        <v>0.11471321695760599</v>
      </c>
    </row>
    <row r="167" spans="1:7" x14ac:dyDescent="0.2">
      <c r="A167">
        <v>0.20849999999999999</v>
      </c>
      <c r="B167">
        <v>9.9000000000000005E-2</v>
      </c>
      <c r="C167" s="1">
        <f t="shared" si="15"/>
        <v>417</v>
      </c>
      <c r="D167" s="1">
        <f t="shared" si="16"/>
        <v>198</v>
      </c>
      <c r="E167" s="1">
        <f t="shared" si="13"/>
        <v>198</v>
      </c>
      <c r="F167" s="1">
        <f t="shared" si="14"/>
        <v>1604</v>
      </c>
      <c r="G167" s="1">
        <f t="shared" si="17"/>
        <v>0.13653366583541146</v>
      </c>
    </row>
    <row r="168" spans="1:7" x14ac:dyDescent="0.2">
      <c r="A168">
        <v>0.20150000000000001</v>
      </c>
      <c r="B168">
        <v>9.9000000000000005E-2</v>
      </c>
      <c r="C168" s="1">
        <f t="shared" si="15"/>
        <v>403</v>
      </c>
      <c r="D168" s="1">
        <f t="shared" si="16"/>
        <v>198</v>
      </c>
      <c r="E168" s="1">
        <f t="shared" si="13"/>
        <v>198</v>
      </c>
      <c r="F168" s="1">
        <f t="shared" si="14"/>
        <v>1604</v>
      </c>
      <c r="G168" s="1">
        <f t="shared" si="17"/>
        <v>0.12780548628428928</v>
      </c>
    </row>
    <row r="169" spans="1:7" x14ac:dyDescent="0.2">
      <c r="A169">
        <v>0.2145</v>
      </c>
      <c r="B169">
        <v>9.9000000000000005E-2</v>
      </c>
      <c r="C169" s="1">
        <f t="shared" si="15"/>
        <v>429</v>
      </c>
      <c r="D169" s="1">
        <f t="shared" si="16"/>
        <v>198</v>
      </c>
      <c r="E169" s="1">
        <f t="shared" si="13"/>
        <v>198</v>
      </c>
      <c r="F169" s="1">
        <f t="shared" si="14"/>
        <v>1604</v>
      </c>
      <c r="G169" s="1">
        <f t="shared" si="17"/>
        <v>0.1440149625935162</v>
      </c>
    </row>
    <row r="170" spans="1:7" x14ac:dyDescent="0.2">
      <c r="A170">
        <v>0.19450000000000001</v>
      </c>
      <c r="B170">
        <v>9.9000000000000005E-2</v>
      </c>
      <c r="C170" s="1">
        <f t="shared" si="15"/>
        <v>389</v>
      </c>
      <c r="D170" s="1">
        <f t="shared" si="16"/>
        <v>198</v>
      </c>
      <c r="E170" s="1">
        <f t="shared" si="13"/>
        <v>198</v>
      </c>
      <c r="F170" s="1">
        <f t="shared" si="14"/>
        <v>1604</v>
      </c>
      <c r="G170" s="1">
        <f t="shared" si="17"/>
        <v>0.11907730673316708</v>
      </c>
    </row>
    <row r="171" spans="1:7" x14ac:dyDescent="0.2">
      <c r="A171">
        <v>0.19650000000000001</v>
      </c>
      <c r="B171">
        <v>9.9500000000000005E-2</v>
      </c>
      <c r="C171" s="1">
        <f t="shared" si="15"/>
        <v>393</v>
      </c>
      <c r="D171" s="1">
        <f t="shared" si="16"/>
        <v>199</v>
      </c>
      <c r="E171" s="1">
        <f t="shared" si="13"/>
        <v>199</v>
      </c>
      <c r="F171" s="1">
        <f t="shared" si="14"/>
        <v>1602</v>
      </c>
      <c r="G171" s="1">
        <f t="shared" si="17"/>
        <v>0.12109862671660425</v>
      </c>
    </row>
    <row r="172" spans="1:7" x14ac:dyDescent="0.2">
      <c r="A172">
        <v>0.183</v>
      </c>
      <c r="B172">
        <v>0.1</v>
      </c>
      <c r="C172" s="1">
        <f t="shared" si="15"/>
        <v>366</v>
      </c>
      <c r="D172" s="1">
        <f t="shared" si="16"/>
        <v>200</v>
      </c>
      <c r="E172" s="1">
        <f t="shared" si="13"/>
        <v>200</v>
      </c>
      <c r="F172" s="1">
        <f t="shared" si="14"/>
        <v>1600</v>
      </c>
      <c r="G172" s="1">
        <f t="shared" si="17"/>
        <v>0.10375</v>
      </c>
    </row>
    <row r="173" spans="1:7" x14ac:dyDescent="0.2">
      <c r="A173">
        <v>0.20399999999999999</v>
      </c>
      <c r="B173">
        <v>0.10050000000000001</v>
      </c>
      <c r="C173" s="1">
        <f t="shared" si="15"/>
        <v>408</v>
      </c>
      <c r="D173" s="1">
        <f t="shared" si="16"/>
        <v>201</v>
      </c>
      <c r="E173" s="1">
        <f t="shared" si="13"/>
        <v>201</v>
      </c>
      <c r="F173" s="1">
        <f t="shared" si="14"/>
        <v>1598</v>
      </c>
      <c r="G173" s="1">
        <f t="shared" si="17"/>
        <v>0.1295369211514393</v>
      </c>
    </row>
    <row r="174" spans="1:7" x14ac:dyDescent="0.2">
      <c r="A174">
        <v>0.193</v>
      </c>
      <c r="B174">
        <v>0.10100000000000001</v>
      </c>
      <c r="C174" s="1">
        <f t="shared" si="15"/>
        <v>386</v>
      </c>
      <c r="D174" s="1">
        <f t="shared" si="16"/>
        <v>202</v>
      </c>
      <c r="E174" s="1">
        <f t="shared" si="13"/>
        <v>202</v>
      </c>
      <c r="F174" s="1">
        <f t="shared" si="14"/>
        <v>1596</v>
      </c>
      <c r="G174" s="1">
        <f t="shared" si="17"/>
        <v>0.11528822055137844</v>
      </c>
    </row>
    <row r="175" spans="1:7" x14ac:dyDescent="0.2">
      <c r="A175">
        <v>0.21199999999999999</v>
      </c>
      <c r="B175">
        <v>0.10100000000000001</v>
      </c>
      <c r="C175" s="1">
        <f t="shared" si="15"/>
        <v>424</v>
      </c>
      <c r="D175" s="1">
        <f t="shared" si="16"/>
        <v>202</v>
      </c>
      <c r="E175" s="1">
        <f t="shared" si="13"/>
        <v>202</v>
      </c>
      <c r="F175" s="1">
        <f t="shared" si="14"/>
        <v>1596</v>
      </c>
      <c r="G175" s="1">
        <f t="shared" si="17"/>
        <v>0.13909774436090225</v>
      </c>
    </row>
    <row r="176" spans="1:7" x14ac:dyDescent="0.2">
      <c r="A176">
        <v>0.192</v>
      </c>
      <c r="B176">
        <v>0.10150000000000001</v>
      </c>
      <c r="C176" s="1">
        <f t="shared" si="15"/>
        <v>384</v>
      </c>
      <c r="D176" s="1">
        <f t="shared" si="16"/>
        <v>203</v>
      </c>
      <c r="E176" s="1">
        <f t="shared" si="13"/>
        <v>203</v>
      </c>
      <c r="F176" s="1">
        <f t="shared" si="14"/>
        <v>1594</v>
      </c>
      <c r="G176" s="1">
        <f t="shared" si="17"/>
        <v>0.11355081555834379</v>
      </c>
    </row>
    <row r="177" spans="1:7" x14ac:dyDescent="0.2">
      <c r="A177">
        <v>0.19850000000000001</v>
      </c>
      <c r="B177">
        <v>0.10249999999999999</v>
      </c>
      <c r="C177" s="1">
        <f t="shared" si="15"/>
        <v>397</v>
      </c>
      <c r="D177" s="1">
        <f t="shared" si="16"/>
        <v>205</v>
      </c>
      <c r="E177" s="1">
        <f t="shared" si="13"/>
        <v>205</v>
      </c>
      <c r="F177" s="1">
        <f t="shared" si="14"/>
        <v>1590</v>
      </c>
      <c r="G177" s="1">
        <f t="shared" si="17"/>
        <v>0.12075471698113208</v>
      </c>
    </row>
    <row r="178" spans="1:7" x14ac:dyDescent="0.2">
      <c r="A178">
        <v>0.192</v>
      </c>
      <c r="B178">
        <v>0.10349999999999999</v>
      </c>
      <c r="C178" s="1">
        <f t="shared" si="15"/>
        <v>384</v>
      </c>
      <c r="D178" s="1">
        <f t="shared" si="16"/>
        <v>207</v>
      </c>
      <c r="E178" s="1">
        <f t="shared" si="13"/>
        <v>207</v>
      </c>
      <c r="F178" s="1">
        <f t="shared" si="14"/>
        <v>1586</v>
      </c>
      <c r="G178" s="1">
        <f t="shared" si="17"/>
        <v>0.1116015132408575</v>
      </c>
    </row>
    <row r="179" spans="1:7" x14ac:dyDescent="0.2">
      <c r="A179">
        <v>0.20200000000000001</v>
      </c>
      <c r="B179">
        <v>0.10349999999999999</v>
      </c>
      <c r="C179" s="1">
        <f t="shared" si="15"/>
        <v>404</v>
      </c>
      <c r="D179" s="1">
        <f t="shared" si="16"/>
        <v>207</v>
      </c>
      <c r="E179" s="1">
        <f t="shared" si="13"/>
        <v>207</v>
      </c>
      <c r="F179" s="1">
        <f t="shared" si="14"/>
        <v>1586</v>
      </c>
      <c r="G179" s="1">
        <f t="shared" si="17"/>
        <v>0.12421185372005045</v>
      </c>
    </row>
    <row r="180" spans="1:7" x14ac:dyDescent="0.2">
      <c r="A180">
        <v>0.1885</v>
      </c>
      <c r="B180">
        <v>0.10349999999999999</v>
      </c>
      <c r="C180" s="1">
        <f t="shared" si="15"/>
        <v>377</v>
      </c>
      <c r="D180" s="1">
        <f t="shared" si="16"/>
        <v>207</v>
      </c>
      <c r="E180" s="1">
        <f t="shared" si="13"/>
        <v>207</v>
      </c>
      <c r="F180" s="1">
        <f t="shared" si="14"/>
        <v>1586</v>
      </c>
      <c r="G180" s="1">
        <f t="shared" si="17"/>
        <v>0.10718789407313997</v>
      </c>
    </row>
    <row r="181" spans="1:7" x14ac:dyDescent="0.2">
      <c r="A181">
        <v>0.20250000000000001</v>
      </c>
      <c r="B181">
        <v>0.10349999999999999</v>
      </c>
      <c r="C181" s="1">
        <f t="shared" si="15"/>
        <v>405</v>
      </c>
      <c r="D181" s="1">
        <f t="shared" si="16"/>
        <v>207</v>
      </c>
      <c r="E181" s="1">
        <f t="shared" si="13"/>
        <v>207</v>
      </c>
      <c r="F181" s="1">
        <f t="shared" si="14"/>
        <v>1586</v>
      </c>
      <c r="G181" s="1">
        <f t="shared" si="17"/>
        <v>0.12484237074401008</v>
      </c>
    </row>
    <row r="182" spans="1:7" x14ac:dyDescent="0.2">
      <c r="A182">
        <v>0.19850000000000001</v>
      </c>
      <c r="B182">
        <v>0.104</v>
      </c>
      <c r="C182" s="1">
        <f t="shared" si="15"/>
        <v>397</v>
      </c>
      <c r="D182" s="1">
        <f t="shared" si="16"/>
        <v>208</v>
      </c>
      <c r="E182" s="1">
        <f t="shared" si="13"/>
        <v>208</v>
      </c>
      <c r="F182" s="1">
        <f t="shared" si="14"/>
        <v>1584</v>
      </c>
      <c r="G182" s="1">
        <f t="shared" si="17"/>
        <v>0.11931818181818182</v>
      </c>
    </row>
    <row r="183" spans="1:7" x14ac:dyDescent="0.2">
      <c r="A183">
        <v>0.20050000000000001</v>
      </c>
      <c r="B183">
        <v>0.105</v>
      </c>
      <c r="C183" s="1">
        <f t="shared" si="15"/>
        <v>401</v>
      </c>
      <c r="D183" s="1">
        <f t="shared" si="16"/>
        <v>210</v>
      </c>
      <c r="E183" s="1">
        <f t="shared" si="13"/>
        <v>210</v>
      </c>
      <c r="F183" s="1">
        <f t="shared" si="14"/>
        <v>1580</v>
      </c>
      <c r="G183" s="1">
        <f t="shared" si="17"/>
        <v>0.12088607594936709</v>
      </c>
    </row>
    <row r="184" spans="1:7" x14ac:dyDescent="0.2">
      <c r="A184">
        <v>0.20899999999999999</v>
      </c>
      <c r="B184">
        <v>0.1065</v>
      </c>
      <c r="C184" s="1">
        <f t="shared" si="15"/>
        <v>418</v>
      </c>
      <c r="D184" s="1">
        <f t="shared" si="16"/>
        <v>213</v>
      </c>
      <c r="E184" s="1">
        <f t="shared" si="13"/>
        <v>213</v>
      </c>
      <c r="F184" s="1">
        <f t="shared" si="14"/>
        <v>1574</v>
      </c>
      <c r="G184" s="1">
        <f t="shared" si="17"/>
        <v>0.13024142312579415</v>
      </c>
    </row>
    <row r="185" spans="1:7" x14ac:dyDescent="0.2">
      <c r="A185">
        <v>0.1835</v>
      </c>
      <c r="B185">
        <v>0.107</v>
      </c>
      <c r="C185" s="1">
        <f t="shared" si="15"/>
        <v>367</v>
      </c>
      <c r="D185" s="1">
        <f t="shared" si="16"/>
        <v>214</v>
      </c>
      <c r="E185" s="1">
        <f t="shared" si="13"/>
        <v>214</v>
      </c>
      <c r="F185" s="1">
        <f t="shared" si="14"/>
        <v>1572</v>
      </c>
      <c r="G185" s="1">
        <f t="shared" si="17"/>
        <v>9.7328244274809156E-2</v>
      </c>
    </row>
    <row r="186" spans="1:7" x14ac:dyDescent="0.2">
      <c r="A186">
        <v>0.20250000000000001</v>
      </c>
      <c r="B186">
        <v>0.107</v>
      </c>
      <c r="C186" s="1">
        <f t="shared" si="15"/>
        <v>405</v>
      </c>
      <c r="D186" s="1">
        <f t="shared" si="16"/>
        <v>214</v>
      </c>
      <c r="E186" s="1">
        <f t="shared" si="13"/>
        <v>214</v>
      </c>
      <c r="F186" s="1">
        <f t="shared" si="14"/>
        <v>1572</v>
      </c>
      <c r="G186" s="1">
        <f t="shared" si="17"/>
        <v>0.12150127226463105</v>
      </c>
    </row>
    <row r="187" spans="1:7" x14ac:dyDescent="0.2">
      <c r="A187">
        <v>0.21149999999999999</v>
      </c>
      <c r="B187">
        <v>0.89500000000000002</v>
      </c>
      <c r="C187" s="1">
        <f t="shared" si="15"/>
        <v>423</v>
      </c>
      <c r="D187" s="1">
        <f t="shared" si="16"/>
        <v>1790</v>
      </c>
      <c r="E187" s="1">
        <f t="shared" si="13"/>
        <v>210</v>
      </c>
      <c r="F187" s="1">
        <f t="shared" si="14"/>
        <v>1580</v>
      </c>
      <c r="G187" s="1">
        <f t="shared" si="17"/>
        <v>0.13481012658227848</v>
      </c>
    </row>
    <row r="188" spans="1:7" x14ac:dyDescent="0.2">
      <c r="A188">
        <v>0.1895</v>
      </c>
      <c r="B188">
        <v>0.89800000000000002</v>
      </c>
      <c r="C188" s="1">
        <f t="shared" si="15"/>
        <v>379</v>
      </c>
      <c r="D188" s="1">
        <f t="shared" si="16"/>
        <v>1796</v>
      </c>
      <c r="E188" s="1">
        <f t="shared" si="13"/>
        <v>204</v>
      </c>
      <c r="F188" s="1">
        <f t="shared" si="14"/>
        <v>1592</v>
      </c>
      <c r="G188" s="1">
        <f t="shared" si="17"/>
        <v>0.10992462311557789</v>
      </c>
    </row>
    <row r="189" spans="1:7" x14ac:dyDescent="0.2">
      <c r="A189">
        <v>0.20100000000000001</v>
      </c>
      <c r="B189">
        <v>0.89949999999999997</v>
      </c>
      <c r="C189" s="1">
        <f t="shared" si="15"/>
        <v>402</v>
      </c>
      <c r="D189" s="1">
        <f t="shared" si="16"/>
        <v>1799</v>
      </c>
      <c r="E189" s="1">
        <f t="shared" si="13"/>
        <v>201</v>
      </c>
      <c r="F189" s="1">
        <f t="shared" si="14"/>
        <v>1598</v>
      </c>
      <c r="G189" s="1">
        <f t="shared" si="17"/>
        <v>0.12578222778473092</v>
      </c>
    </row>
    <row r="190" spans="1:7" x14ac:dyDescent="0.2">
      <c r="A190">
        <v>0.2185</v>
      </c>
      <c r="B190">
        <v>0.90049999999999997</v>
      </c>
      <c r="C190" s="1">
        <f t="shared" si="15"/>
        <v>437</v>
      </c>
      <c r="D190" s="1">
        <f t="shared" si="16"/>
        <v>1801</v>
      </c>
      <c r="E190" s="1">
        <f t="shared" si="13"/>
        <v>199</v>
      </c>
      <c r="F190" s="1">
        <f t="shared" si="14"/>
        <v>1602</v>
      </c>
      <c r="G190" s="1">
        <f t="shared" si="17"/>
        <v>0.14856429463171036</v>
      </c>
    </row>
    <row r="191" spans="1:7" x14ac:dyDescent="0.2">
      <c r="A191">
        <v>0.20100000000000001</v>
      </c>
      <c r="B191">
        <v>0.90149999999999997</v>
      </c>
      <c r="C191" s="1">
        <f t="shared" si="15"/>
        <v>402</v>
      </c>
      <c r="D191" s="1">
        <f t="shared" si="16"/>
        <v>1803</v>
      </c>
      <c r="E191" s="1">
        <f t="shared" si="13"/>
        <v>197</v>
      </c>
      <c r="F191" s="1">
        <f t="shared" si="14"/>
        <v>1606</v>
      </c>
      <c r="G191" s="1">
        <f t="shared" si="17"/>
        <v>0.12764632627646327</v>
      </c>
    </row>
    <row r="192" spans="1:7" x14ac:dyDescent="0.2">
      <c r="A192">
        <v>0.20050000000000001</v>
      </c>
      <c r="B192">
        <v>0.90300000000000002</v>
      </c>
      <c r="C192" s="1">
        <f t="shared" si="15"/>
        <v>401</v>
      </c>
      <c r="D192" s="1">
        <f t="shared" si="16"/>
        <v>1806</v>
      </c>
      <c r="E192" s="1">
        <f t="shared" ref="E192:E210" si="18">MIN(D192,$J$7-D192)</f>
        <v>194</v>
      </c>
      <c r="F192" s="1">
        <f t="shared" ref="F192:F210" si="19">$J$7-2*E192</f>
        <v>1612</v>
      </c>
      <c r="G192" s="1">
        <f t="shared" si="17"/>
        <v>0.12841191066997518</v>
      </c>
    </row>
    <row r="193" spans="1:7" x14ac:dyDescent="0.2">
      <c r="A193">
        <v>0.192</v>
      </c>
      <c r="B193">
        <v>0.90800000000000003</v>
      </c>
      <c r="C193" s="1">
        <f t="shared" si="15"/>
        <v>384</v>
      </c>
      <c r="D193" s="1">
        <f t="shared" si="16"/>
        <v>1816</v>
      </c>
      <c r="E193" s="1">
        <f t="shared" si="18"/>
        <v>184</v>
      </c>
      <c r="F193" s="1">
        <f t="shared" si="19"/>
        <v>1632</v>
      </c>
      <c r="G193" s="1">
        <f t="shared" si="17"/>
        <v>0.12254901960784313</v>
      </c>
    </row>
    <row r="194" spans="1:7" x14ac:dyDescent="0.2">
      <c r="A194">
        <v>0.19350000000000001</v>
      </c>
      <c r="B194">
        <v>0.91049999999999998</v>
      </c>
      <c r="C194" s="1">
        <f t="shared" si="15"/>
        <v>387</v>
      </c>
      <c r="D194" s="1">
        <f t="shared" si="16"/>
        <v>1821</v>
      </c>
      <c r="E194" s="1">
        <f t="shared" si="18"/>
        <v>179</v>
      </c>
      <c r="F194" s="1">
        <f t="shared" si="19"/>
        <v>1642</v>
      </c>
      <c r="G194" s="1">
        <f t="shared" si="17"/>
        <v>0.12667478684531058</v>
      </c>
    </row>
    <row r="195" spans="1:7" x14ac:dyDescent="0.2">
      <c r="A195">
        <v>0.20449999999999999</v>
      </c>
      <c r="B195">
        <v>0.91100000000000003</v>
      </c>
      <c r="C195" s="1">
        <f t="shared" si="15"/>
        <v>409</v>
      </c>
      <c r="D195" s="1">
        <f t="shared" si="16"/>
        <v>1822</v>
      </c>
      <c r="E195" s="1">
        <f t="shared" si="18"/>
        <v>178</v>
      </c>
      <c r="F195" s="1">
        <f t="shared" si="19"/>
        <v>1644</v>
      </c>
      <c r="G195" s="1">
        <f t="shared" si="17"/>
        <v>0.14051094890510948</v>
      </c>
    </row>
    <row r="196" spans="1:7" x14ac:dyDescent="0.2">
      <c r="A196">
        <v>0.19600000000000001</v>
      </c>
      <c r="B196">
        <v>0.91149999999999998</v>
      </c>
      <c r="C196" s="1">
        <f t="shared" si="15"/>
        <v>392</v>
      </c>
      <c r="D196" s="1">
        <f t="shared" si="16"/>
        <v>1823</v>
      </c>
      <c r="E196" s="1">
        <f t="shared" si="18"/>
        <v>177</v>
      </c>
      <c r="F196" s="1">
        <f t="shared" si="19"/>
        <v>1646</v>
      </c>
      <c r="G196" s="1">
        <f t="shared" si="17"/>
        <v>0.13061968408262453</v>
      </c>
    </row>
    <row r="197" spans="1:7" x14ac:dyDescent="0.2">
      <c r="A197">
        <v>0.20799999999999999</v>
      </c>
      <c r="B197">
        <v>0.91149999999999998</v>
      </c>
      <c r="C197" s="1">
        <f t="shared" si="15"/>
        <v>416</v>
      </c>
      <c r="D197" s="1">
        <f t="shared" si="16"/>
        <v>1823</v>
      </c>
      <c r="E197" s="1">
        <f t="shared" si="18"/>
        <v>177</v>
      </c>
      <c r="F197" s="1">
        <f t="shared" si="19"/>
        <v>1646</v>
      </c>
      <c r="G197" s="1">
        <f t="shared" si="17"/>
        <v>0.14520048602673147</v>
      </c>
    </row>
    <row r="198" spans="1:7" x14ac:dyDescent="0.2">
      <c r="A198">
        <v>0.191</v>
      </c>
      <c r="B198">
        <v>0.91249999999999998</v>
      </c>
      <c r="C198" s="1">
        <f t="shared" si="15"/>
        <v>382</v>
      </c>
      <c r="D198" s="1">
        <f t="shared" si="16"/>
        <v>1825</v>
      </c>
      <c r="E198" s="1">
        <f t="shared" si="18"/>
        <v>175</v>
      </c>
      <c r="F198" s="1">
        <f t="shared" si="19"/>
        <v>1650</v>
      </c>
      <c r="G198" s="1">
        <f t="shared" si="17"/>
        <v>0.12545454545454546</v>
      </c>
    </row>
    <row r="199" spans="1:7" x14ac:dyDescent="0.2">
      <c r="A199">
        <v>0.20699999999999999</v>
      </c>
      <c r="B199">
        <v>0.91400000000000003</v>
      </c>
      <c r="C199" s="1">
        <f t="shared" si="15"/>
        <v>414</v>
      </c>
      <c r="D199" s="1">
        <f t="shared" si="16"/>
        <v>1828</v>
      </c>
      <c r="E199" s="1">
        <f t="shared" si="18"/>
        <v>172</v>
      </c>
      <c r="F199" s="1">
        <f t="shared" si="19"/>
        <v>1656</v>
      </c>
      <c r="G199" s="1">
        <f t="shared" si="17"/>
        <v>0.1461352657004831</v>
      </c>
    </row>
    <row r="200" spans="1:7" x14ac:dyDescent="0.2">
      <c r="A200">
        <v>0.19700000000000001</v>
      </c>
      <c r="B200">
        <v>0.91549999999999998</v>
      </c>
      <c r="C200" s="1">
        <f t="shared" si="15"/>
        <v>394</v>
      </c>
      <c r="D200" s="1">
        <f t="shared" si="16"/>
        <v>1831</v>
      </c>
      <c r="E200" s="1">
        <f t="shared" si="18"/>
        <v>169</v>
      </c>
      <c r="F200" s="1">
        <f t="shared" si="19"/>
        <v>1662</v>
      </c>
      <c r="G200" s="1">
        <f t="shared" si="17"/>
        <v>0.13537906137184116</v>
      </c>
    </row>
    <row r="201" spans="1:7" x14ac:dyDescent="0.2">
      <c r="A201">
        <v>0.20899999999999999</v>
      </c>
      <c r="B201">
        <v>0.91549999999999998</v>
      </c>
      <c r="C201" s="1">
        <f t="shared" si="15"/>
        <v>418</v>
      </c>
      <c r="D201" s="1">
        <f t="shared" si="16"/>
        <v>1831</v>
      </c>
      <c r="E201" s="1">
        <f t="shared" si="18"/>
        <v>169</v>
      </c>
      <c r="F201" s="1">
        <f t="shared" si="19"/>
        <v>1662</v>
      </c>
      <c r="G201" s="1">
        <f t="shared" si="17"/>
        <v>0.14981949458483754</v>
      </c>
    </row>
    <row r="202" spans="1:7" x14ac:dyDescent="0.2">
      <c r="A202">
        <v>0.2165</v>
      </c>
      <c r="B202">
        <v>0.91649999999999998</v>
      </c>
      <c r="C202" s="1">
        <f t="shared" si="15"/>
        <v>433</v>
      </c>
      <c r="D202" s="1">
        <f t="shared" si="16"/>
        <v>1833</v>
      </c>
      <c r="E202" s="1">
        <f t="shared" si="18"/>
        <v>167</v>
      </c>
      <c r="F202" s="1">
        <f t="shared" si="19"/>
        <v>1666</v>
      </c>
      <c r="G202" s="1">
        <f t="shared" si="17"/>
        <v>0.15966386554621848</v>
      </c>
    </row>
    <row r="203" spans="1:7" x14ac:dyDescent="0.2">
      <c r="A203">
        <v>0.19550000000000001</v>
      </c>
      <c r="B203">
        <v>0.91700000000000004</v>
      </c>
      <c r="C203" s="1">
        <f t="shared" si="15"/>
        <v>391</v>
      </c>
      <c r="D203" s="1">
        <f t="shared" si="16"/>
        <v>1834</v>
      </c>
      <c r="E203" s="1">
        <f t="shared" si="18"/>
        <v>166</v>
      </c>
      <c r="F203" s="1">
        <f t="shared" si="19"/>
        <v>1668</v>
      </c>
      <c r="G203" s="1">
        <f t="shared" si="17"/>
        <v>0.13489208633093525</v>
      </c>
    </row>
    <row r="204" spans="1:7" x14ac:dyDescent="0.2">
      <c r="A204">
        <v>0.1895</v>
      </c>
      <c r="B204">
        <v>0.91749999999999998</v>
      </c>
      <c r="C204" s="1">
        <f t="shared" si="15"/>
        <v>379</v>
      </c>
      <c r="D204" s="1">
        <f t="shared" si="16"/>
        <v>1835</v>
      </c>
      <c r="E204" s="1">
        <f t="shared" si="18"/>
        <v>165</v>
      </c>
      <c r="F204" s="1">
        <f t="shared" si="19"/>
        <v>1670</v>
      </c>
      <c r="G204" s="1">
        <f t="shared" si="17"/>
        <v>0.1281437125748503</v>
      </c>
    </row>
    <row r="205" spans="1:7" x14ac:dyDescent="0.2">
      <c r="A205">
        <v>0.20349999999999999</v>
      </c>
      <c r="B205">
        <v>0.91800000000000004</v>
      </c>
      <c r="C205" s="1">
        <f t="shared" si="15"/>
        <v>407</v>
      </c>
      <c r="D205" s="1">
        <f t="shared" si="16"/>
        <v>1836</v>
      </c>
      <c r="E205" s="1">
        <f t="shared" si="18"/>
        <v>164</v>
      </c>
      <c r="F205" s="1">
        <f t="shared" si="19"/>
        <v>1672</v>
      </c>
      <c r="G205" s="1">
        <f t="shared" si="17"/>
        <v>0.14533492822966507</v>
      </c>
    </row>
    <row r="206" spans="1:7" x14ac:dyDescent="0.2">
      <c r="A206">
        <v>0.20100000000000001</v>
      </c>
      <c r="B206">
        <v>0.91949999999999998</v>
      </c>
      <c r="C206" s="1">
        <f t="shared" si="15"/>
        <v>402</v>
      </c>
      <c r="D206" s="1">
        <f t="shared" si="16"/>
        <v>1839</v>
      </c>
      <c r="E206" s="1">
        <f t="shared" si="18"/>
        <v>161</v>
      </c>
      <c r="F206" s="1">
        <f t="shared" si="19"/>
        <v>1678</v>
      </c>
      <c r="G206" s="1">
        <f t="shared" si="17"/>
        <v>0.14362336114421931</v>
      </c>
    </row>
    <row r="207" spans="1:7" x14ac:dyDescent="0.2">
      <c r="A207">
        <v>0.19450000000000001</v>
      </c>
      <c r="B207">
        <v>0.92</v>
      </c>
      <c r="C207" s="1">
        <f t="shared" si="15"/>
        <v>389</v>
      </c>
      <c r="D207" s="1">
        <f t="shared" si="16"/>
        <v>1840</v>
      </c>
      <c r="E207" s="1">
        <f t="shared" si="18"/>
        <v>160</v>
      </c>
      <c r="F207" s="1">
        <f t="shared" si="19"/>
        <v>1680</v>
      </c>
      <c r="G207" s="1">
        <f t="shared" si="17"/>
        <v>0.1363095238095238</v>
      </c>
    </row>
    <row r="208" spans="1:7" x14ac:dyDescent="0.2">
      <c r="A208">
        <v>0.2155</v>
      </c>
      <c r="B208">
        <v>0.92200000000000004</v>
      </c>
      <c r="C208" s="1">
        <f t="shared" si="15"/>
        <v>431</v>
      </c>
      <c r="D208" s="1">
        <f t="shared" si="16"/>
        <v>1844</v>
      </c>
      <c r="E208" s="1">
        <f t="shared" si="18"/>
        <v>156</v>
      </c>
      <c r="F208" s="1">
        <f t="shared" si="19"/>
        <v>1688</v>
      </c>
      <c r="G208" s="1">
        <f t="shared" si="17"/>
        <v>0.16291469194312796</v>
      </c>
    </row>
    <row r="209" spans="1:7" x14ac:dyDescent="0.2">
      <c r="A209">
        <v>0.19600000000000001</v>
      </c>
      <c r="B209">
        <v>0.92349999999999999</v>
      </c>
      <c r="C209" s="1">
        <f t="shared" si="15"/>
        <v>392</v>
      </c>
      <c r="D209" s="1">
        <f t="shared" si="16"/>
        <v>1847</v>
      </c>
      <c r="E209" s="1">
        <f t="shared" si="18"/>
        <v>153</v>
      </c>
      <c r="F209" s="1">
        <f t="shared" si="19"/>
        <v>1694</v>
      </c>
      <c r="G209" s="1">
        <f t="shared" si="17"/>
        <v>0.14108618654073199</v>
      </c>
    </row>
    <row r="210" spans="1:7" x14ac:dyDescent="0.2">
      <c r="A210">
        <v>0.1895</v>
      </c>
      <c r="B210">
        <v>0.92649999999999999</v>
      </c>
      <c r="C210" s="1">
        <f t="shared" si="15"/>
        <v>379</v>
      </c>
      <c r="D210" s="1">
        <f t="shared" si="16"/>
        <v>1853</v>
      </c>
      <c r="E210" s="1">
        <f t="shared" si="18"/>
        <v>147</v>
      </c>
      <c r="F210" s="1">
        <f t="shared" si="19"/>
        <v>1706</v>
      </c>
      <c r="G210" s="1">
        <f t="shared" si="17"/>
        <v>0.13599062133645956</v>
      </c>
    </row>
  </sheetData>
  <autoFilter ref="A1:B54" xr:uid="{070A1173-CFAE-6C45-8A39-51B7159AEDE4}">
    <sortState xmlns:xlrd2="http://schemas.microsoft.com/office/spreadsheetml/2017/richdata2" ref="A2:B213">
      <sortCondition ref="B1:B213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col0_start_end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Adrian Roellin</cp:lastModifiedBy>
  <dcterms:created xsi:type="dcterms:W3CDTF">2026-01-02T03:18:54Z</dcterms:created>
  <dcterms:modified xsi:type="dcterms:W3CDTF">2026-01-07T00:13:38Z</dcterms:modified>
</cp:coreProperties>
</file>